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ronograma Gantt" sheetId="1" state="visible" r:id="rId1"/>
    <sheet xmlns:r="http://schemas.openxmlformats.org/officeDocument/2006/relationships" name="Control Semanal" sheetId="2" state="visible" r:id="rId2"/>
    <sheet xmlns:r="http://schemas.openxmlformats.org/officeDocument/2006/relationships" name="Seguimiento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\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2F2F2F"/>
      <sz val="9"/>
    </font>
    <font>
      <name val="Arial"/>
      <charset val="1"/>
      <family val="0"/>
      <color rgb="FF595959"/>
      <sz val="8"/>
    </font>
    <font>
      <name val="Arial"/>
      <charset val="1"/>
      <family val="0"/>
      <b val="1"/>
      <color rgb="FF4CAF50"/>
      <sz val="9"/>
    </font>
    <font>
      <name val="Arial"/>
      <charset val="1"/>
      <family val="0"/>
      <color rgb="FF2E7D32"/>
      <sz val="8"/>
    </font>
    <font>
      <name val="Arial"/>
      <charset val="1"/>
      <family val="0"/>
      <color rgb="FFFF9800"/>
      <sz val="9"/>
    </font>
    <font>
      <name val="Arial"/>
      <charset val="1"/>
      <family val="0"/>
      <color rgb="FFE65100"/>
      <sz val="8"/>
    </font>
    <font>
      <name val="Arial"/>
      <charset val="1"/>
      <family val="0"/>
      <color rgb="FF595959"/>
      <sz val="9"/>
    </font>
    <font>
      <name val="Arial"/>
      <charset val="1"/>
      <family val="0"/>
      <color rgb="FFFFFFFF"/>
      <sz val="8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9"/>
    </font>
    <font>
      <name val="Arial"/>
      <charset val="1"/>
      <family val="0"/>
      <b val="1"/>
      <color rgb="FFC00000"/>
      <sz val="9"/>
    </font>
    <font>
      <b val="1"/>
      <color rgb="00FFFFFF"/>
      <sz val="11"/>
    </font>
    <font>
      <b val="1"/>
    </font>
    <font>
      <b val="1"/>
      <color rgb="00FFFFFF"/>
      <sz val="14"/>
    </font>
    <font>
      <i val="1"/>
      <sz val="10"/>
    </font>
    <font>
      <b val="1"/>
      <color rgb="00FFFFFF"/>
      <sz val="12"/>
    </font>
  </fonts>
  <fills count="21">
    <fill>
      <patternFill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2F2F2F"/>
        <bgColor rgb="FF1F1F1F"/>
      </patternFill>
    </fill>
    <fill>
      <patternFill patternType="solid">
        <fgColor rgb="FF1F1F1F"/>
        <bgColor rgb="FF2F2F2F"/>
      </patternFill>
    </fill>
    <fill>
      <patternFill patternType="solid">
        <fgColor rgb="FF1565C0"/>
        <bgColor rgb="FF3366FF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EBEBEB"/>
      </patternFill>
    </fill>
    <fill>
      <patternFill patternType="solid">
        <fgColor rgb="FF4CAF50"/>
        <bgColor rgb="FF2E7D32"/>
      </patternFill>
    </fill>
    <fill>
      <patternFill patternType="solid">
        <fgColor rgb="FFF5F5F5"/>
        <bgColor rgb="FFE8F5E9"/>
      </patternFill>
    </fill>
    <fill>
      <patternFill patternType="solid">
        <fgColor rgb="FFEBEBEB"/>
        <bgColor rgb="FFE8F5E9"/>
      </patternFill>
    </fill>
    <fill>
      <patternFill patternType="solid">
        <fgColor rgb="FFFFF8E1"/>
        <bgColor rgb="FFF5F5F5"/>
      </patternFill>
    </fill>
    <fill>
      <patternFill patternType="solid">
        <fgColor rgb="FF2E7D32"/>
        <bgColor rgb="FF008080"/>
      </patternFill>
    </fill>
    <fill>
      <patternFill patternType="solid">
        <fgColor rgb="FF6A1B9A"/>
        <bgColor rgb="FF800080"/>
      </patternFill>
    </fill>
    <fill>
      <patternFill patternType="solid">
        <fgColor rgb="FFE65100"/>
        <bgColor rgb="FF993300"/>
      </patternFill>
    </fill>
    <fill>
      <patternFill patternType="solid">
        <fgColor rgb="FF595959"/>
        <bgColor rgb="FF2E7D32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1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CCCCCC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/>
    </xf>
    <xf numFmtId="9" fontId="8" fillId="6" borderId="4" applyAlignment="1" pivotButton="0" quotePrefix="0" xfId="0">
      <alignment horizontal="center" vertical="center"/>
    </xf>
    <xf numFmtId="9" fontId="10" fillId="6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0" fillId="8" borderId="6" applyAlignment="1" pivotButton="0" quotePrefix="0" xfId="0">
      <alignment horizontal="general" vertical="bottom"/>
    </xf>
    <xf numFmtId="0" fontId="0" fillId="9" borderId="6" applyAlignment="1" pivotButton="0" quotePrefix="0" xfId="0">
      <alignment horizontal="general" vertical="bottom"/>
    </xf>
    <xf numFmtId="0" fontId="8" fillId="9" borderId="4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center" vertical="center"/>
    </xf>
    <xf numFmtId="9" fontId="8" fillId="9" borderId="4" applyAlignment="1" pivotButton="0" quotePrefix="0" xfId="0">
      <alignment horizontal="center" vertical="center"/>
    </xf>
    <xf numFmtId="9" fontId="10" fillId="9" borderId="4" applyAlignment="1" pivotButton="0" quotePrefix="0" xfId="0">
      <alignment horizontal="center" vertical="center"/>
    </xf>
    <xf numFmtId="0" fontId="0" fillId="10" borderId="6" applyAlignment="1" pivotButton="0" quotePrefix="0" xfId="0">
      <alignment horizontal="general" vertical="bottom"/>
    </xf>
    <xf numFmtId="9" fontId="12" fillId="6" borderId="4" applyAlignment="1" pivotButton="0" quotePrefix="0" xfId="0">
      <alignment horizontal="center" vertical="center"/>
    </xf>
    <xf numFmtId="0" fontId="13" fillId="11" borderId="4" applyAlignment="1" pivotButton="0" quotePrefix="0" xfId="0">
      <alignment horizontal="center" vertical="center"/>
    </xf>
    <xf numFmtId="0" fontId="7" fillId="12" borderId="4" applyAlignment="1" pivotButton="0" quotePrefix="0" xfId="0">
      <alignment horizontal="center" vertical="center"/>
    </xf>
    <xf numFmtId="0" fontId="7" fillId="12" borderId="5" applyAlignment="1" pivotButton="0" quotePrefix="0" xfId="0">
      <alignment horizontal="center" vertical="center" wrapText="1"/>
    </xf>
    <xf numFmtId="9" fontId="12" fillId="9" borderId="4" applyAlignment="1" pivotButton="0" quotePrefix="0" xfId="0">
      <alignment horizontal="center" vertical="center"/>
    </xf>
    <xf numFmtId="0" fontId="0" fillId="12" borderId="6" applyAlignment="1" pivotButton="0" quotePrefix="0" xfId="0">
      <alignment horizontal="general" vertical="bottom"/>
    </xf>
    <xf numFmtId="9" fontId="14" fillId="9" borderId="4" applyAlignment="1" pivotButton="0" quotePrefix="0" xfId="0">
      <alignment horizontal="center" vertical="center"/>
    </xf>
    <xf numFmtId="0" fontId="7" fillId="13" borderId="4" applyAlignment="1" pivotButton="0" quotePrefix="0" xfId="0">
      <alignment horizontal="center" vertical="center"/>
    </xf>
    <xf numFmtId="0" fontId="7" fillId="13" borderId="5" applyAlignment="1" pivotButton="0" quotePrefix="0" xfId="0">
      <alignment horizontal="center" vertical="center" wrapText="1"/>
    </xf>
    <xf numFmtId="0" fontId="0" fillId="13" borderId="6" applyAlignment="1" pivotButton="0" quotePrefix="0" xfId="0">
      <alignment horizontal="general" vertical="bottom"/>
    </xf>
    <xf numFmtId="9" fontId="14" fillId="6" borderId="4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15" fillId="8" borderId="7" applyAlignment="1" pivotButton="0" quotePrefix="0" xfId="0">
      <alignment horizontal="left" vertical="center"/>
    </xf>
    <xf numFmtId="0" fontId="15" fillId="2" borderId="7" applyAlignment="1" pivotButton="0" quotePrefix="0" xfId="0">
      <alignment horizontal="left" vertical="center"/>
    </xf>
    <xf numFmtId="0" fontId="15" fillId="14" borderId="7" applyAlignment="1" pivotButton="0" quotePrefix="0" xfId="0">
      <alignment horizontal="left" vertical="center"/>
    </xf>
    <xf numFmtId="0" fontId="15" fillId="15" borderId="7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18" fillId="6" borderId="4" applyAlignment="1" pivotButton="0" quotePrefix="0" xfId="0">
      <alignment horizontal="left" vertical="center"/>
    </xf>
    <xf numFmtId="0" fontId="18" fillId="6" borderId="4" applyAlignment="1" pivotButton="0" quotePrefix="0" xfId="0">
      <alignment horizontal="center" vertical="center"/>
    </xf>
    <xf numFmtId="164" fontId="18" fillId="6" borderId="4" applyAlignment="1" pivotButton="0" quotePrefix="0" xfId="0">
      <alignment horizontal="center" vertical="center"/>
    </xf>
    <xf numFmtId="164" fontId="10" fillId="6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8" fillId="9" borderId="4" applyAlignment="1" pivotButton="0" quotePrefix="0" xfId="0">
      <alignment horizontal="left" vertical="center"/>
    </xf>
    <xf numFmtId="0" fontId="18" fillId="9" borderId="4" applyAlignment="1" pivotButton="0" quotePrefix="0" xfId="0">
      <alignment horizontal="center" vertical="center"/>
    </xf>
    <xf numFmtId="164" fontId="18" fillId="9" borderId="4" applyAlignment="1" pivotButton="0" quotePrefix="0" xfId="0">
      <alignment horizontal="center" vertical="center"/>
    </xf>
    <xf numFmtId="164" fontId="10" fillId="9" borderId="4" applyAlignment="1" pivotButton="0" quotePrefix="0" xfId="0">
      <alignment horizontal="center" vertical="center"/>
    </xf>
    <xf numFmtId="164" fontId="12" fillId="6" borderId="4" applyAlignment="1" pivotButton="0" quotePrefix="0" xfId="0">
      <alignment horizontal="center" vertical="center"/>
    </xf>
    <xf numFmtId="0" fontId="19" fillId="6" borderId="4" applyAlignment="1" pivotButton="0" quotePrefix="0" xfId="0">
      <alignment horizontal="center" vertical="center"/>
    </xf>
    <xf numFmtId="164" fontId="12" fillId="9" borderId="4" applyAlignment="1" pivotButton="0" quotePrefix="0" xfId="0">
      <alignment horizontal="center" vertical="center"/>
    </xf>
    <xf numFmtId="164" fontId="14" fillId="9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11" pivotButton="0" quotePrefix="0" xfId="0"/>
    <xf numFmtId="0" fontId="7" fillId="2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/>
    </xf>
    <xf numFmtId="9" fontId="8" fillId="6" borderId="4" applyAlignment="1" pivotButton="0" quotePrefix="0" xfId="0">
      <alignment horizontal="center" vertical="center"/>
    </xf>
    <xf numFmtId="9" fontId="10" fillId="6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0" fillId="8" borderId="6" applyAlignment="1" pivotButton="0" quotePrefix="0" xfId="0">
      <alignment horizontal="general" vertical="bottom"/>
    </xf>
    <xf numFmtId="0" fontId="0" fillId="9" borderId="6" applyAlignment="1" pivotButton="0" quotePrefix="0" xfId="0">
      <alignment horizontal="general" vertical="bottom"/>
    </xf>
    <xf numFmtId="0" fontId="8" fillId="9" borderId="4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center" vertical="center"/>
    </xf>
    <xf numFmtId="9" fontId="8" fillId="9" borderId="4" applyAlignment="1" pivotButton="0" quotePrefix="0" xfId="0">
      <alignment horizontal="center" vertical="center"/>
    </xf>
    <xf numFmtId="9" fontId="10" fillId="9" borderId="4" applyAlignment="1" pivotButton="0" quotePrefix="0" xfId="0">
      <alignment horizontal="center" vertical="center"/>
    </xf>
    <xf numFmtId="0" fontId="0" fillId="10" borderId="6" applyAlignment="1" pivotButton="0" quotePrefix="0" xfId="0">
      <alignment horizontal="general" vertical="bottom"/>
    </xf>
    <xf numFmtId="0" fontId="0" fillId="0" borderId="12" pivotButton="0" quotePrefix="0" xfId="0"/>
    <xf numFmtId="9" fontId="12" fillId="6" borderId="4" applyAlignment="1" pivotButton="0" quotePrefix="0" xfId="0">
      <alignment horizontal="center" vertical="center"/>
    </xf>
    <xf numFmtId="0" fontId="13" fillId="11" borderId="4" applyAlignment="1" pivotButton="0" quotePrefix="0" xfId="0">
      <alignment horizontal="center" vertical="center"/>
    </xf>
    <xf numFmtId="0" fontId="7" fillId="12" borderId="4" applyAlignment="1" pivotButton="0" quotePrefix="0" xfId="0">
      <alignment horizontal="center" vertical="center"/>
    </xf>
    <xf numFmtId="0" fontId="7" fillId="12" borderId="5" applyAlignment="1" pivotButton="0" quotePrefix="0" xfId="0">
      <alignment horizontal="center" vertical="center" wrapText="1"/>
    </xf>
    <xf numFmtId="9" fontId="12" fillId="9" borderId="4" applyAlignment="1" pivotButton="0" quotePrefix="0" xfId="0">
      <alignment horizontal="center" vertical="center"/>
    </xf>
    <xf numFmtId="0" fontId="0" fillId="12" borderId="6" applyAlignment="1" pivotButton="0" quotePrefix="0" xfId="0">
      <alignment horizontal="general" vertical="bottom"/>
    </xf>
    <xf numFmtId="9" fontId="14" fillId="9" borderId="4" applyAlignment="1" pivotButton="0" quotePrefix="0" xfId="0">
      <alignment horizontal="center" vertical="center"/>
    </xf>
    <xf numFmtId="0" fontId="7" fillId="13" borderId="4" applyAlignment="1" pivotButton="0" quotePrefix="0" xfId="0">
      <alignment horizontal="center" vertical="center"/>
    </xf>
    <xf numFmtId="0" fontId="7" fillId="13" borderId="5" applyAlignment="1" pivotButton="0" quotePrefix="0" xfId="0">
      <alignment horizontal="center" vertical="center" wrapText="1"/>
    </xf>
    <xf numFmtId="0" fontId="0" fillId="13" borderId="6" applyAlignment="1" pivotButton="0" quotePrefix="0" xfId="0">
      <alignment horizontal="general" vertical="bottom"/>
    </xf>
    <xf numFmtId="9" fontId="14" fillId="6" borderId="4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15" fillId="8" borderId="7" applyAlignment="1" pivotButton="0" quotePrefix="0" xfId="0">
      <alignment horizontal="left" vertical="center"/>
    </xf>
    <xf numFmtId="0" fontId="15" fillId="2" borderId="7" applyAlignment="1" pivotButton="0" quotePrefix="0" xfId="0">
      <alignment horizontal="left" vertical="center"/>
    </xf>
    <xf numFmtId="0" fontId="15" fillId="14" borderId="7" applyAlignment="1" pivotButton="0" quotePrefix="0" xfId="0">
      <alignment horizontal="left" vertical="center"/>
    </xf>
    <xf numFmtId="0" fontId="15" fillId="15" borderId="7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22" fillId="16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0" fillId="16" borderId="13" applyAlignment="1" pivotButton="0" quotePrefix="0" xfId="0">
      <alignment horizontal="center" vertical="center" wrapText="1"/>
    </xf>
    <xf numFmtId="0" fontId="18" fillId="6" borderId="13" applyAlignment="1" pivotButton="0" quotePrefix="0" xfId="0">
      <alignment horizontal="left" vertical="center"/>
    </xf>
    <xf numFmtId="0" fontId="18" fillId="6" borderId="13" applyAlignment="1" pivotButton="0" quotePrefix="0" xfId="0">
      <alignment horizontal="center" vertical="center"/>
    </xf>
    <xf numFmtId="164" fontId="18" fillId="6" borderId="13" applyAlignment="1" pivotButton="0" quotePrefix="0" xfId="0">
      <alignment horizontal="center" vertical="center"/>
    </xf>
    <xf numFmtId="164" fontId="10" fillId="6" borderId="13" applyAlignment="1" pivotButton="0" quotePrefix="0" xfId="0">
      <alignment horizontal="center" vertical="center"/>
    </xf>
    <xf numFmtId="0" fontId="10" fillId="6" borderId="13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 wrapText="1"/>
    </xf>
    <xf numFmtId="0" fontId="21" fillId="17" borderId="13" applyAlignment="1" pivotButton="0" quotePrefix="0" xfId="0">
      <alignment horizontal="center" vertical="center" wrapText="1"/>
    </xf>
    <xf numFmtId="0" fontId="18" fillId="9" borderId="13" applyAlignment="1" pivotButton="0" quotePrefix="0" xfId="0">
      <alignment horizontal="left" vertical="center"/>
    </xf>
    <xf numFmtId="0" fontId="18" fillId="9" borderId="13" applyAlignment="1" pivotButton="0" quotePrefix="0" xfId="0">
      <alignment horizontal="center" vertical="center"/>
    </xf>
    <xf numFmtId="164" fontId="18" fillId="9" borderId="13" applyAlignment="1" pivotButton="0" quotePrefix="0" xfId="0">
      <alignment horizontal="center" vertical="center"/>
    </xf>
    <xf numFmtId="164" fontId="10" fillId="9" borderId="13" applyAlignment="1" pivotButton="0" quotePrefix="0" xfId="0">
      <alignment horizontal="center" vertical="center"/>
    </xf>
    <xf numFmtId="164" fontId="12" fillId="6" borderId="13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21" fillId="18" borderId="13" applyAlignment="1" pivotButton="0" quotePrefix="0" xfId="0">
      <alignment horizontal="center" vertical="center" wrapText="1"/>
    </xf>
    <xf numFmtId="164" fontId="12" fillId="9" borderId="13" applyAlignment="1" pivotButton="0" quotePrefix="0" xfId="0">
      <alignment horizontal="center" vertical="center"/>
    </xf>
    <xf numFmtId="0" fontId="21" fillId="19" borderId="13" applyAlignment="1" pivotButton="0" quotePrefix="0" xfId="0">
      <alignment horizontal="center" vertical="center" wrapText="1"/>
    </xf>
    <xf numFmtId="164" fontId="14" fillId="9" borderId="13" applyAlignment="1" pivotButton="0" quotePrefix="0" xfId="0">
      <alignment horizontal="center" vertical="center"/>
    </xf>
    <xf numFmtId="0" fontId="24" fillId="16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20" borderId="0" applyAlignment="1" pivotButton="0" quotePrefix="0" xfId="0">
      <alignment horizontal="left" vertical="center" indent="1"/>
    </xf>
    <xf numFmtId="0" fontId="0" fillId="0" borderId="13" applyAlignment="1" pivotButton="0" quotePrefix="0" xfId="0">
      <alignment horizontal="left" vertical="center" wrapText="1"/>
    </xf>
    <xf numFmtId="0" fontId="0" fillId="17" borderId="13" applyAlignment="1" pivotButton="0" quotePrefix="0" xfId="0">
      <alignment horizontal="left" vertical="center" wrapText="1"/>
    </xf>
    <xf numFmtId="0" fontId="0" fillId="19" borderId="13" applyAlignment="1" pivotButton="0" quotePrefix="0" xfId="0">
      <alignment horizontal="left" vertical="center" wrapText="1"/>
    </xf>
    <xf numFmtId="0" fontId="0" fillId="18" borderId="1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6A1B9A"/>
      <rgbColor rgb="FF008080"/>
      <rgbColor rgb="FFCCCCCC"/>
      <rgbColor rgb="FF888888"/>
      <rgbColor rgb="FF9999FF"/>
      <rgbColor rgb="FF993366"/>
      <rgbColor rgb="FFFFF8E1"/>
      <rgbColor rgb="FFE8F5E9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EBEB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E65100"/>
      <rgbColor rgb="FF595959"/>
      <rgbColor rgb="FFAAAAAA"/>
      <rgbColor rgb="FF003366"/>
      <rgbColor rgb="FF4CAF50"/>
      <rgbColor rgb="FF003300"/>
      <rgbColor rgb="FF1F1F1F"/>
      <rgbColor rgb="FF993300"/>
      <rgbColor rgb="FF993366"/>
      <rgbColor rgb="FF333399"/>
      <rgbColor rgb="FF2F2F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26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3" min="1" max="1"/>
    <col width="9" customWidth="1" style="53" min="2" max="2"/>
    <col width="38" customWidth="1" style="53" min="3" max="3"/>
    <col width="12" customWidth="1" style="53" min="4" max="4"/>
    <col width="8" customWidth="1" style="53" min="5" max="6"/>
    <col width="14" customWidth="1" style="53" min="7" max="7"/>
    <col width="3.5" customWidth="1" style="53" min="8" max="31"/>
  </cols>
  <sheetData>
    <row r="1" ht="31.5" customHeight="1" s="54">
      <c r="A1" s="55" t="inlineStr">
        <is>
          <t>ManttoAI Predictivo — Cronograma de Proyecto  |  Gestión de Proyectos Informáticos  |  INACAP 2025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  <c r="AA1" s="56" t="n"/>
      <c r="AB1" s="56" t="n"/>
      <c r="AC1" s="56" t="n"/>
      <c r="AD1" s="56" t="n"/>
      <c r="AE1" s="56" t="n"/>
    </row>
    <row r="2" ht="18" customHeight="1" s="54">
      <c r="A2" s="57" t="inlineStr">
        <is>
          <t>Período: Enero – Junio 2025  |  Equipo: Luis Loyola  |  Ángel Rubilar  |  Sebastián Bravo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  <c r="Z2" s="56" t="n"/>
      <c r="AA2" s="56" t="n"/>
      <c r="AB2" s="56" t="n"/>
      <c r="AC2" s="56" t="n"/>
      <c r="AD2" s="56" t="n"/>
      <c r="AE2" s="56" t="n"/>
    </row>
    <row r="3" ht="6" customHeight="1" s="54"/>
    <row r="4" ht="19.5" customHeight="1" s="54">
      <c r="A4" s="58" t="inlineStr">
        <is>
          <t>ID</t>
        </is>
      </c>
      <c r="B4" s="58" t="inlineStr">
        <is>
          <t>Fase</t>
        </is>
      </c>
      <c r="C4" s="58" t="inlineStr">
        <is>
          <t>Actividad</t>
        </is>
      </c>
      <c r="D4" s="58" t="inlineStr">
        <is>
          <t>Responsable</t>
        </is>
      </c>
      <c r="E4" s="58" t="inlineStr">
        <is>
          <t>% Plan</t>
        </is>
      </c>
      <c r="F4" s="58" t="inlineStr">
        <is>
          <t>% Real</t>
        </is>
      </c>
      <c r="G4" s="58" t="inlineStr">
        <is>
          <t>Estado</t>
        </is>
      </c>
      <c r="H4" s="59" t="inlineStr">
        <is>
          <t>Enero 2025</t>
        </is>
      </c>
      <c r="I4" s="56" t="n"/>
      <c r="J4" s="56" t="n"/>
      <c r="K4" s="56" t="n"/>
      <c r="L4" s="59" t="inlineStr">
        <is>
          <t>Febrero 2025</t>
        </is>
      </c>
      <c r="M4" s="56" t="n"/>
      <c r="N4" s="56" t="n"/>
      <c r="O4" s="56" t="n"/>
      <c r="P4" s="59" t="inlineStr">
        <is>
          <t>Marzo 2025</t>
        </is>
      </c>
      <c r="Q4" s="56" t="n"/>
      <c r="R4" s="56" t="n"/>
      <c r="S4" s="56" t="n"/>
      <c r="T4" s="59" t="inlineStr">
        <is>
          <t>Abril 2025</t>
        </is>
      </c>
      <c r="U4" s="56" t="n"/>
      <c r="V4" s="56" t="n"/>
      <c r="W4" s="56" t="n"/>
      <c r="X4" s="59" t="inlineStr">
        <is>
          <t>Mayo 2025</t>
        </is>
      </c>
      <c r="Y4" s="56" t="n"/>
      <c r="Z4" s="56" t="n"/>
      <c r="AA4" s="56" t="n"/>
      <c r="AB4" s="59" t="inlineStr">
        <is>
          <t>Junio 2025</t>
        </is>
      </c>
      <c r="AC4" s="56" t="n"/>
      <c r="AD4" s="56" t="n"/>
      <c r="AE4" s="56" t="n"/>
    </row>
    <row r="5" ht="18" customHeight="1" s="54">
      <c r="A5" s="60" t="n"/>
      <c r="B5" s="60" t="n"/>
      <c r="C5" s="60" t="n"/>
      <c r="D5" s="60" t="n"/>
      <c r="E5" s="60" t="n"/>
      <c r="F5" s="60" t="n"/>
      <c r="G5" s="60" t="n"/>
      <c r="H5" s="61" t="inlineStr">
        <is>
          <t>S1</t>
        </is>
      </c>
      <c r="I5" s="61" t="inlineStr">
        <is>
          <t>S2</t>
        </is>
      </c>
      <c r="J5" s="61" t="inlineStr">
        <is>
          <t>S3</t>
        </is>
      </c>
      <c r="K5" s="61" t="inlineStr">
        <is>
          <t>S4</t>
        </is>
      </c>
      <c r="L5" s="62" t="inlineStr">
        <is>
          <t>S1</t>
        </is>
      </c>
      <c r="M5" s="62" t="inlineStr">
        <is>
          <t>S2</t>
        </is>
      </c>
      <c r="N5" s="62" t="inlineStr">
        <is>
          <t>S3</t>
        </is>
      </c>
      <c r="O5" s="62" t="inlineStr">
        <is>
          <t>S4</t>
        </is>
      </c>
      <c r="P5" s="61" t="inlineStr">
        <is>
          <t>S1</t>
        </is>
      </c>
      <c r="Q5" s="61" t="inlineStr">
        <is>
          <t>S2</t>
        </is>
      </c>
      <c r="R5" s="61" t="inlineStr">
        <is>
          <t>S3</t>
        </is>
      </c>
      <c r="S5" s="61" t="inlineStr">
        <is>
          <t>S4</t>
        </is>
      </c>
      <c r="T5" s="62" t="inlineStr">
        <is>
          <t>S1</t>
        </is>
      </c>
      <c r="U5" s="62" t="inlineStr">
        <is>
          <t>S2</t>
        </is>
      </c>
      <c r="V5" s="62" t="inlineStr">
        <is>
          <t>S3</t>
        </is>
      </c>
      <c r="W5" s="62" t="inlineStr">
        <is>
          <t>S4</t>
        </is>
      </c>
      <c r="X5" s="61" t="inlineStr">
        <is>
          <t>S1</t>
        </is>
      </c>
      <c r="Y5" s="61" t="inlineStr">
        <is>
          <t>S2</t>
        </is>
      </c>
      <c r="Z5" s="61" t="inlineStr">
        <is>
          <t>S3</t>
        </is>
      </c>
      <c r="AA5" s="61" t="inlineStr">
        <is>
          <t>S4</t>
        </is>
      </c>
      <c r="AB5" s="62" t="inlineStr">
        <is>
          <t>S1</t>
        </is>
      </c>
      <c r="AC5" s="62" t="inlineStr">
        <is>
          <t>S2</t>
        </is>
      </c>
      <c r="AD5" s="62" t="inlineStr">
        <is>
          <t>S3</t>
        </is>
      </c>
      <c r="AE5" s="62" t="inlineStr">
        <is>
          <t>S4</t>
        </is>
      </c>
    </row>
    <row r="6" ht="21.75" customHeight="1" s="54">
      <c r="A6" s="63" t="inlineStr">
        <is>
          <t>F1</t>
        </is>
      </c>
      <c r="B6" s="64" t="inlineStr">
        <is>
          <t>FASE 1
Inicio &amp;
Planif.</t>
        </is>
      </c>
      <c r="C6" s="65" t="inlineStr">
        <is>
          <t>Levantamiento de requerimientos</t>
        </is>
      </c>
      <c r="D6" s="66" t="inlineStr">
        <is>
          <t>S. Bravo</t>
        </is>
      </c>
      <c r="E6" s="67" t="n">
        <v>1</v>
      </c>
      <c r="F6" s="68" t="n">
        <v>1</v>
      </c>
      <c r="G6" s="69" t="inlineStr">
        <is>
          <t>✔ Completado</t>
        </is>
      </c>
      <c r="H6" s="70" t="n"/>
      <c r="I6" s="70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71" t="n"/>
      <c r="V6" s="71" t="n"/>
      <c r="W6" s="71" t="n"/>
      <c r="X6" s="71" t="n"/>
      <c r="Y6" s="71" t="n"/>
      <c r="Z6" s="71" t="n"/>
      <c r="AA6" s="71" t="n"/>
      <c r="AB6" s="71" t="n"/>
      <c r="AC6" s="71" t="n"/>
      <c r="AD6" s="71" t="n"/>
      <c r="AE6" s="71" t="n"/>
    </row>
    <row r="7" ht="21.75" customHeight="1" s="54">
      <c r="A7" s="63" t="inlineStr">
        <is>
          <t>F2</t>
        </is>
      </c>
      <c r="B7" s="60" t="n"/>
      <c r="C7" s="72" t="inlineStr">
        <is>
          <t>Definición de alcance y entregables</t>
        </is>
      </c>
      <c r="D7" s="73" t="inlineStr">
        <is>
          <t>L. Loyola</t>
        </is>
      </c>
      <c r="E7" s="74" t="n">
        <v>1</v>
      </c>
      <c r="F7" s="75" t="n">
        <v>1</v>
      </c>
      <c r="G7" s="69" t="inlineStr">
        <is>
          <t>✔ Completado</t>
        </is>
      </c>
      <c r="H7" s="70" t="n"/>
      <c r="I7" s="70" t="n"/>
      <c r="J7" s="76" t="n"/>
      <c r="K7" s="76" t="n"/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  <c r="AA7" s="76" t="n"/>
      <c r="AB7" s="76" t="n"/>
      <c r="AC7" s="76" t="n"/>
      <c r="AD7" s="76" t="n"/>
      <c r="AE7" s="76" t="n"/>
    </row>
    <row r="8" ht="21.75" customHeight="1" s="54">
      <c r="A8" s="63" t="inlineStr">
        <is>
          <t>F3</t>
        </is>
      </c>
      <c r="B8" s="77" t="n"/>
      <c r="C8" s="65" t="inlineStr">
        <is>
          <t>Diseño de arquitectura del sistema</t>
        </is>
      </c>
      <c r="D8" s="66" t="inlineStr">
        <is>
          <t>Á. Rubilar</t>
        </is>
      </c>
      <c r="E8" s="67" t="n">
        <v>1</v>
      </c>
      <c r="F8" s="78" t="n">
        <v>0.8</v>
      </c>
      <c r="G8" s="79" t="inlineStr">
        <is>
          <t>⚠ En progreso</t>
        </is>
      </c>
      <c r="H8" s="71" t="n"/>
      <c r="I8" s="70" t="n"/>
      <c r="J8" s="70" t="n"/>
      <c r="K8" s="71" t="n"/>
      <c r="L8" s="71" t="n"/>
      <c r="M8" s="71" t="n"/>
      <c r="N8" s="71" t="n"/>
      <c r="O8" s="71" t="n"/>
      <c r="P8" s="71" t="n"/>
      <c r="Q8" s="71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</row>
    <row r="9" ht="21.75" customHeight="1" s="54">
      <c r="A9" s="80" t="inlineStr">
        <is>
          <t>F4</t>
        </is>
      </c>
      <c r="B9" s="81" t="inlineStr">
        <is>
          <t>FASE 2
Hardware
IoT</t>
        </is>
      </c>
      <c r="C9" s="72" t="inlineStr">
        <is>
          <t>Configuración sensores ESP32</t>
        </is>
      </c>
      <c r="D9" s="73" t="inlineStr">
        <is>
          <t>Á. Rubilar</t>
        </is>
      </c>
      <c r="E9" s="74" t="n">
        <v>0.8</v>
      </c>
      <c r="F9" s="82" t="n">
        <v>0.7</v>
      </c>
      <c r="G9" s="79" t="inlineStr">
        <is>
          <t>⚠ En progreso</t>
        </is>
      </c>
      <c r="H9" s="76" t="n"/>
      <c r="I9" s="76" t="n"/>
      <c r="J9" s="70" t="n"/>
      <c r="K9" s="70" t="n"/>
      <c r="L9" s="83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  <c r="AA9" s="76" t="n"/>
      <c r="AB9" s="76" t="n"/>
      <c r="AC9" s="76" t="n"/>
      <c r="AD9" s="76" t="n"/>
      <c r="AE9" s="76" t="n"/>
    </row>
    <row r="10" ht="21.75" customHeight="1" s="54">
      <c r="A10" s="80" t="inlineStr">
        <is>
          <t>F5</t>
        </is>
      </c>
      <c r="B10" s="60" t="n"/>
      <c r="C10" s="65" t="inlineStr">
        <is>
          <t>Protocolo MQTT (Mosquitto broker)</t>
        </is>
      </c>
      <c r="D10" s="66" t="inlineStr">
        <is>
          <t>S. Bravo</t>
        </is>
      </c>
      <c r="E10" s="67" t="n">
        <v>0.8</v>
      </c>
      <c r="F10" s="78" t="n">
        <v>0.6</v>
      </c>
      <c r="G10" s="79" t="inlineStr">
        <is>
          <t>⚠ En progreso</t>
        </is>
      </c>
      <c r="H10" s="71" t="n"/>
      <c r="I10" s="71" t="n"/>
      <c r="J10" s="71" t="n"/>
      <c r="K10" s="70" t="n"/>
      <c r="L10" s="70" t="n"/>
      <c r="M10" s="83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</row>
    <row r="11" ht="21.75" customHeight="1" s="54">
      <c r="A11" s="80" t="inlineStr">
        <is>
          <t>F6</t>
        </is>
      </c>
      <c r="B11" s="77" t="n"/>
      <c r="C11" s="72" t="inlineStr">
        <is>
          <t>Pruebas de conexión y transmisión</t>
        </is>
      </c>
      <c r="D11" s="73" t="inlineStr">
        <is>
          <t>L. Loyola</t>
        </is>
      </c>
      <c r="E11" s="74" t="n">
        <v>0.5</v>
      </c>
      <c r="F11" s="84" t="n">
        <v>0</v>
      </c>
      <c r="G11" s="73" t="inlineStr">
        <is>
          <t>⏳ Pendiente</t>
        </is>
      </c>
      <c r="H11" s="76" t="n"/>
      <c r="I11" s="76" t="n"/>
      <c r="J11" s="76" t="n"/>
      <c r="K11" s="76" t="n"/>
      <c r="L11" s="76" t="n"/>
      <c r="M11" s="83" t="n"/>
      <c r="N11" s="83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  <c r="AA11" s="76" t="n"/>
      <c r="AB11" s="76" t="n"/>
      <c r="AC11" s="76" t="n"/>
      <c r="AD11" s="76" t="n"/>
      <c r="AE11" s="76" t="n"/>
    </row>
    <row r="12" ht="21.75" customHeight="1" s="54">
      <c r="A12" s="85" t="inlineStr">
        <is>
          <t>F7</t>
        </is>
      </c>
      <c r="B12" s="86" t="inlineStr">
        <is>
          <t>FASE 3
Backend
&amp; ML</t>
        </is>
      </c>
      <c r="C12" s="65" t="inlineStr">
        <is>
          <t>API REST con FastAPI (Python)</t>
        </is>
      </c>
      <c r="D12" s="66" t="inlineStr">
        <is>
          <t>S. Bravo</t>
        </is>
      </c>
      <c r="E12" s="67" t="n">
        <v>0.7</v>
      </c>
      <c r="F12" s="78" t="n">
        <v>0.5</v>
      </c>
      <c r="G12" s="79" t="inlineStr">
        <is>
          <t>⚠ En progreso</t>
        </is>
      </c>
      <c r="H12" s="71" t="n"/>
      <c r="I12" s="71" t="n"/>
      <c r="J12" s="71" t="n"/>
      <c r="K12" s="71" t="n"/>
      <c r="L12" s="71" t="n"/>
      <c r="M12" s="70" t="n"/>
      <c r="N12" s="70" t="n"/>
      <c r="O12" s="87" t="n"/>
      <c r="P12" s="87" t="n"/>
      <c r="Q12" s="71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</row>
    <row r="13" ht="21.75" customHeight="1" s="54">
      <c r="A13" s="85" t="inlineStr">
        <is>
          <t>F8</t>
        </is>
      </c>
      <c r="B13" s="60" t="n"/>
      <c r="C13" s="72" t="inlineStr">
        <is>
          <t>Base de datos MySQL – esquema</t>
        </is>
      </c>
      <c r="D13" s="73" t="inlineStr">
        <is>
          <t>L. Loyola</t>
        </is>
      </c>
      <c r="E13" s="74" t="n">
        <v>0.8</v>
      </c>
      <c r="F13" s="82" t="n">
        <v>0.8</v>
      </c>
      <c r="G13" s="69" t="inlineStr">
        <is>
          <t>✔ Completado</t>
        </is>
      </c>
      <c r="H13" s="76" t="n"/>
      <c r="I13" s="76" t="n"/>
      <c r="J13" s="76" t="n"/>
      <c r="K13" s="76" t="n"/>
      <c r="L13" s="76" t="n"/>
      <c r="M13" s="70" t="n"/>
      <c r="N13" s="70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  <c r="AA13" s="76" t="n"/>
      <c r="AB13" s="76" t="n"/>
      <c r="AC13" s="76" t="n"/>
      <c r="AD13" s="76" t="n"/>
      <c r="AE13" s="76" t="n"/>
    </row>
    <row r="14" ht="21.75" customHeight="1" s="54">
      <c r="A14" s="85" t="inlineStr">
        <is>
          <t>F9</t>
        </is>
      </c>
      <c r="B14" s="60" t="n"/>
      <c r="C14" s="65" t="inlineStr">
        <is>
          <t>Modelo predictivo scikit-learn</t>
        </is>
      </c>
      <c r="D14" s="66" t="inlineStr">
        <is>
          <t>Á. Rubilar</t>
        </is>
      </c>
      <c r="E14" s="67" t="n">
        <v>0.6</v>
      </c>
      <c r="F14" s="78" t="n">
        <v>0.3</v>
      </c>
      <c r="G14" s="79" t="inlineStr">
        <is>
          <t>⚠ En progreso</t>
        </is>
      </c>
      <c r="H14" s="71" t="n"/>
      <c r="I14" s="71" t="n"/>
      <c r="J14" s="71" t="n"/>
      <c r="K14" s="71" t="n"/>
      <c r="L14" s="71" t="n"/>
      <c r="M14" s="71" t="n"/>
      <c r="N14" s="71" t="n"/>
      <c r="O14" s="70" t="n"/>
      <c r="P14" s="87" t="n"/>
      <c r="Q14" s="87" t="n"/>
      <c r="R14" s="87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</row>
    <row r="15" ht="21.75" customHeight="1" s="54">
      <c r="A15" s="85" t="inlineStr">
        <is>
          <t>F10</t>
        </is>
      </c>
      <c r="B15" s="77" t="n"/>
      <c r="C15" s="72" t="inlineStr">
        <is>
          <t>Entrenamiento y validación del modelo</t>
        </is>
      </c>
      <c r="D15" s="73" t="inlineStr">
        <is>
          <t>Á. Rubilar</t>
        </is>
      </c>
      <c r="E15" s="74" t="n">
        <v>0.4</v>
      </c>
      <c r="F15" s="84" t="n">
        <v>0</v>
      </c>
      <c r="G15" s="73" t="inlineStr">
        <is>
          <t>⏳ Pendiente</t>
        </is>
      </c>
      <c r="H15" s="76" t="n"/>
      <c r="I15" s="76" t="n"/>
      <c r="J15" s="76" t="n"/>
      <c r="K15" s="76" t="n"/>
      <c r="L15" s="76" t="n"/>
      <c r="M15" s="76" t="n"/>
      <c r="N15" s="76" t="n"/>
      <c r="O15" s="76" t="n"/>
      <c r="P15" s="76" t="n"/>
      <c r="Q15" s="76" t="n"/>
      <c r="R15" s="87" t="n"/>
      <c r="S15" s="87" t="n"/>
      <c r="T15" s="87" t="n"/>
      <c r="U15" s="76" t="n"/>
      <c r="V15" s="76" t="n"/>
      <c r="W15" s="76" t="n"/>
      <c r="X15" s="76" t="n"/>
      <c r="Y15" s="76" t="n"/>
      <c r="Z15" s="76" t="n"/>
      <c r="AA15" s="76" t="n"/>
      <c r="AB15" s="76" t="n"/>
      <c r="AC15" s="76" t="n"/>
      <c r="AD15" s="76" t="n"/>
      <c r="AE15" s="76" t="n"/>
    </row>
    <row r="16" ht="21.75" customHeight="1" s="54">
      <c r="A16" s="85" t="inlineStr">
        <is>
          <t>F11</t>
        </is>
      </c>
      <c r="B16" s="86" t="inlineStr">
        <is>
          <t>FASE 4
Frontend
React</t>
        </is>
      </c>
      <c r="C16" s="65" t="inlineStr">
        <is>
          <t>Dashboard React.js – estructura base</t>
        </is>
      </c>
      <c r="D16" s="66" t="inlineStr">
        <is>
          <t>L. Loyola</t>
        </is>
      </c>
      <c r="E16" s="67" t="n">
        <v>0.5</v>
      </c>
      <c r="F16" s="78" t="n">
        <v>0.2</v>
      </c>
      <c r="G16" s="79" t="inlineStr">
        <is>
          <t>⚠ En progreso</t>
        </is>
      </c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70" t="n"/>
      <c r="R16" s="87" t="n"/>
      <c r="S16" s="87" t="n"/>
      <c r="T16" s="87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</row>
    <row r="17" ht="21.75" customHeight="1" s="54">
      <c r="A17" s="85" t="inlineStr">
        <is>
          <t>F12</t>
        </is>
      </c>
      <c r="B17" s="60" t="n"/>
      <c r="C17" s="72" t="inlineStr">
        <is>
          <t>Visualización de alertas en tiempo real</t>
        </is>
      </c>
      <c r="D17" s="73" t="inlineStr">
        <is>
          <t>S. Bravo</t>
        </is>
      </c>
      <c r="E17" s="74" t="n">
        <v>0.3</v>
      </c>
      <c r="F17" s="84" t="n">
        <v>0</v>
      </c>
      <c r="G17" s="73" t="inlineStr">
        <is>
          <t>⏳ Pendiente</t>
        </is>
      </c>
      <c r="H17" s="76" t="n"/>
      <c r="I17" s="76" t="n"/>
      <c r="J17" s="76" t="n"/>
      <c r="K17" s="76" t="n"/>
      <c r="L17" s="76" t="n"/>
      <c r="M17" s="76" t="n"/>
      <c r="N17" s="76" t="n"/>
      <c r="O17" s="76" t="n"/>
      <c r="P17" s="76" t="n"/>
      <c r="Q17" s="76" t="n"/>
      <c r="R17" s="76" t="n"/>
      <c r="S17" s="76" t="n"/>
      <c r="T17" s="87" t="n"/>
      <c r="U17" s="87" t="n"/>
      <c r="V17" s="87" t="n"/>
      <c r="W17" s="76" t="n"/>
      <c r="X17" s="76" t="n"/>
      <c r="Y17" s="76" t="n"/>
      <c r="Z17" s="76" t="n"/>
      <c r="AA17" s="76" t="n"/>
      <c r="AB17" s="76" t="n"/>
      <c r="AC17" s="76" t="n"/>
      <c r="AD17" s="76" t="n"/>
      <c r="AE17" s="76" t="n"/>
    </row>
    <row r="18" ht="21.75" customHeight="1" s="54">
      <c r="A18" s="85" t="inlineStr">
        <is>
          <t>F13</t>
        </is>
      </c>
      <c r="B18" s="77" t="n"/>
      <c r="C18" s="65" t="inlineStr">
        <is>
          <t>Integración frontend ↔ API backend</t>
        </is>
      </c>
      <c r="D18" s="66" t="inlineStr">
        <is>
          <t>L. Loyola</t>
        </is>
      </c>
      <c r="E18" s="67" t="n">
        <v>0.2</v>
      </c>
      <c r="F18" s="88" t="n">
        <v>0</v>
      </c>
      <c r="G18" s="73" t="inlineStr">
        <is>
          <t>⏳ Pendiente</t>
        </is>
      </c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87" t="n"/>
      <c r="W18" s="87" t="n"/>
      <c r="X18" s="87" t="n"/>
      <c r="Y18" s="71" t="n"/>
      <c r="Z18" s="71" t="n"/>
      <c r="AA18" s="71" t="n"/>
      <c r="AB18" s="71" t="n"/>
      <c r="AC18" s="71" t="n"/>
      <c r="AD18" s="71" t="n"/>
      <c r="AE18" s="71" t="n"/>
    </row>
    <row r="19" ht="21.75" customHeight="1" s="54">
      <c r="A19" s="85" t="inlineStr">
        <is>
          <t>F14</t>
        </is>
      </c>
      <c r="B19" s="86" t="inlineStr">
        <is>
          <t>FASE 5
Pruebas
&amp; QA</t>
        </is>
      </c>
      <c r="C19" s="72" t="inlineStr">
        <is>
          <t>Pruebas unitarias y de integración</t>
        </is>
      </c>
      <c r="D19" s="73" t="inlineStr">
        <is>
          <t>S. Bravo</t>
        </is>
      </c>
      <c r="E19" s="74" t="n">
        <v>0.2</v>
      </c>
      <c r="F19" s="84" t="n">
        <v>0</v>
      </c>
      <c r="G19" s="73" t="inlineStr">
        <is>
          <t>⏳ Pendiente</t>
        </is>
      </c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87" t="n"/>
      <c r="Y19" s="87" t="n"/>
      <c r="Z19" s="87" t="n"/>
      <c r="AA19" s="76" t="n"/>
      <c r="AB19" s="76" t="n"/>
      <c r="AC19" s="76" t="n"/>
      <c r="AD19" s="76" t="n"/>
      <c r="AE19" s="76" t="n"/>
    </row>
    <row r="20" ht="21.75" customHeight="1" s="54">
      <c r="A20" s="85" t="inlineStr">
        <is>
          <t>F15</t>
        </is>
      </c>
      <c r="B20" s="60" t="n"/>
      <c r="C20" s="65" t="inlineStr">
        <is>
          <t>Pruebas de carga y rendimiento</t>
        </is>
      </c>
      <c r="D20" s="66" t="inlineStr">
        <is>
          <t>Á. Rubilar</t>
        </is>
      </c>
      <c r="E20" s="67" t="n">
        <v>0.15</v>
      </c>
      <c r="F20" s="88" t="n">
        <v>0</v>
      </c>
      <c r="G20" s="73" t="inlineStr">
        <is>
          <t>⏳ Pendiente</t>
        </is>
      </c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87" t="n"/>
      <c r="Z20" s="87" t="n"/>
      <c r="AA20" s="87" t="n"/>
      <c r="AB20" s="71" t="n"/>
      <c r="AC20" s="71" t="n"/>
      <c r="AD20" s="71" t="n"/>
      <c r="AE20" s="71" t="n"/>
    </row>
    <row r="21" ht="21.75" customHeight="1" s="54">
      <c r="A21" s="85" t="inlineStr">
        <is>
          <t>F16</t>
        </is>
      </c>
      <c r="B21" s="77" t="n"/>
      <c r="C21" s="72" t="inlineStr">
        <is>
          <t>Corrección de errores y ajustes</t>
        </is>
      </c>
      <c r="D21" s="73" t="inlineStr">
        <is>
          <t>L. Loyola</t>
        </is>
      </c>
      <c r="E21" s="74" t="n">
        <v>0.15</v>
      </c>
      <c r="F21" s="84" t="n">
        <v>0</v>
      </c>
      <c r="G21" s="73" t="inlineStr">
        <is>
          <t>⏳ Pendiente</t>
        </is>
      </c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87" t="n"/>
      <c r="AA21" s="87" t="n"/>
      <c r="AB21" s="87" t="n"/>
      <c r="AC21" s="76" t="n"/>
      <c r="AD21" s="76" t="n"/>
      <c r="AE21" s="76" t="n"/>
    </row>
    <row r="22" ht="21.75" customHeight="1" s="54">
      <c r="A22" s="85" t="inlineStr">
        <is>
          <t>F17</t>
        </is>
      </c>
      <c r="B22" s="86" t="inlineStr">
        <is>
          <t>FASE 6
Despliegue
&amp; Cierre</t>
        </is>
      </c>
      <c r="C22" s="65" t="inlineStr">
        <is>
          <t>Despliegue en VPS Hostinger KV4</t>
        </is>
      </c>
      <c r="D22" s="66" t="inlineStr">
        <is>
          <t>S. Bravo</t>
        </is>
      </c>
      <c r="E22" s="67" t="n">
        <v>0.1</v>
      </c>
      <c r="F22" s="88" t="n">
        <v>0</v>
      </c>
      <c r="G22" s="73" t="inlineStr">
        <is>
          <t>⏳ Pendiente</t>
        </is>
      </c>
      <c r="H22" s="71" t="n"/>
      <c r="I22" s="71" t="n"/>
      <c r="J22" s="71" t="n"/>
      <c r="K22" s="71" t="n"/>
      <c r="L22" s="71" t="n"/>
      <c r="M22" s="71" t="n"/>
      <c r="N22" s="71" t="n"/>
      <c r="O22" s="71" t="n"/>
      <c r="P22" s="71" t="n"/>
      <c r="Q22" s="71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87" t="n"/>
      <c r="AC22" s="87" t="n"/>
      <c r="AD22" s="71" t="n"/>
      <c r="AE22" s="71" t="n"/>
    </row>
    <row r="23" ht="21.75" customHeight="1" s="54">
      <c r="A23" s="85" t="inlineStr">
        <is>
          <t>F18</t>
        </is>
      </c>
      <c r="B23" s="60" t="n"/>
      <c r="C23" s="72" t="inlineStr">
        <is>
          <t>Configuración dominio y SSL</t>
        </is>
      </c>
      <c r="D23" s="73" t="inlineStr">
        <is>
          <t>L. Loyola</t>
        </is>
      </c>
      <c r="E23" s="74" t="n">
        <v>0.1</v>
      </c>
      <c r="F23" s="84" t="n">
        <v>0</v>
      </c>
      <c r="G23" s="73" t="inlineStr">
        <is>
          <t>⏳ Pendiente</t>
        </is>
      </c>
      <c r="H23" s="76" t="n"/>
      <c r="I23" s="76" t="n"/>
      <c r="J23" s="76" t="n"/>
      <c r="K23" s="76" t="n"/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  <c r="X23" s="76" t="n"/>
      <c r="Y23" s="76" t="n"/>
      <c r="Z23" s="76" t="n"/>
      <c r="AA23" s="76" t="n"/>
      <c r="AB23" s="87" t="n"/>
      <c r="AC23" s="87" t="n"/>
      <c r="AD23" s="76" t="n"/>
      <c r="AE23" s="76" t="n"/>
    </row>
    <row r="24" ht="21.75" customHeight="1" s="54">
      <c r="A24" s="85" t="inlineStr">
        <is>
          <t>F19</t>
        </is>
      </c>
      <c r="B24" s="60" t="n"/>
      <c r="C24" s="65" t="inlineStr">
        <is>
          <t>Documentación técnica final</t>
        </is>
      </c>
      <c r="D24" s="66" t="inlineStr">
        <is>
          <t>Á. Rubilar</t>
        </is>
      </c>
      <c r="E24" s="67" t="n">
        <v>0.1</v>
      </c>
      <c r="F24" s="88" t="n">
        <v>0</v>
      </c>
      <c r="G24" s="73" t="inlineStr">
        <is>
          <t>⏳ Pendiente</t>
        </is>
      </c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  <c r="S24" s="71" t="n"/>
      <c r="T24" s="71" t="n"/>
      <c r="U24" s="71" t="n"/>
      <c r="V24" s="71" t="n"/>
      <c r="W24" s="71" t="n"/>
      <c r="X24" s="71" t="n"/>
      <c r="Y24" s="71" t="n"/>
      <c r="Z24" s="71" t="n"/>
      <c r="AA24" s="71" t="n"/>
      <c r="AB24" s="71" t="n"/>
      <c r="AC24" s="87" t="n"/>
      <c r="AD24" s="87" t="n"/>
      <c r="AE24" s="71" t="n"/>
    </row>
    <row r="25" ht="21.75" customHeight="1" s="54">
      <c r="A25" s="85" t="inlineStr">
        <is>
          <t>F20</t>
        </is>
      </c>
      <c r="B25" s="77" t="n"/>
      <c r="C25" s="72" t="inlineStr">
        <is>
          <t>Presentación proyecto de título</t>
        </is>
      </c>
      <c r="D25" s="73" t="inlineStr">
        <is>
          <t>Equipo</t>
        </is>
      </c>
      <c r="E25" s="74" t="n">
        <v>0.1</v>
      </c>
      <c r="F25" s="84" t="n">
        <v>0</v>
      </c>
      <c r="G25" s="73" t="inlineStr">
        <is>
          <t>⏳ Pendiente</t>
        </is>
      </c>
      <c r="H25" s="76" t="n"/>
      <c r="I25" s="76" t="n"/>
      <c r="J25" s="76" t="n"/>
      <c r="K25" s="76" t="n"/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  <c r="X25" s="76" t="n"/>
      <c r="Y25" s="76" t="n"/>
      <c r="Z25" s="76" t="n"/>
      <c r="AA25" s="76" t="n"/>
      <c r="AB25" s="76" t="n"/>
      <c r="AC25" s="76" t="n"/>
      <c r="AD25" s="87" t="n"/>
      <c r="AE25" s="87" t="n"/>
    </row>
    <row r="26" ht="19.5" customHeight="1" s="54">
      <c r="A26" s="89" t="inlineStr">
        <is>
          <t>LEYENDA:</t>
        </is>
      </c>
      <c r="B26" s="56" t="n"/>
      <c r="C26" s="56" t="n"/>
      <c r="D26" s="90" t="inlineStr">
        <is>
          <t xml:space="preserve">  Completado</t>
        </is>
      </c>
      <c r="E26" s="91" t="inlineStr">
        <is>
          <t xml:space="preserve">  En ejecución planificada</t>
        </is>
      </c>
      <c r="F26" s="92" t="inlineStr">
        <is>
          <t xml:space="preserve">  En progreso</t>
        </is>
      </c>
      <c r="G26" s="93" t="inlineStr">
        <is>
          <t xml:space="preserve">  Pendiente</t>
        </is>
      </c>
      <c r="H26" s="94" t="n"/>
      <c r="I26" s="94" t="n"/>
      <c r="J26" s="94" t="n"/>
      <c r="K26" s="94" t="n"/>
      <c r="L26" s="94" t="n"/>
      <c r="M26" s="94" t="n"/>
      <c r="N26" s="94" t="n"/>
      <c r="O26" s="94" t="n"/>
      <c r="P26" s="94" t="n"/>
      <c r="Q26" s="94" t="n"/>
      <c r="R26" s="94" t="n"/>
      <c r="S26" s="94" t="n"/>
      <c r="T26" s="94" t="n"/>
      <c r="U26" s="94" t="n"/>
      <c r="V26" s="94" t="n"/>
      <c r="W26" s="94" t="n"/>
      <c r="X26" s="94" t="n"/>
      <c r="Y26" s="94" t="n"/>
      <c r="Z26" s="94" t="n"/>
      <c r="AA26" s="94" t="n"/>
      <c r="AB26" s="94" t="n"/>
      <c r="AC26" s="94" t="n"/>
      <c r="AD26" s="94" t="n"/>
      <c r="AE26" s="94" t="n"/>
    </row>
  </sheetData>
  <mergeCells count="22">
    <mergeCell ref="B22:B25"/>
    <mergeCell ref="A2:AE2"/>
    <mergeCell ref="C4:C5"/>
    <mergeCell ref="X4:AA4"/>
    <mergeCell ref="E4:E5"/>
    <mergeCell ref="B12:B15"/>
    <mergeCell ref="A26:C26"/>
    <mergeCell ref="D4:D5"/>
    <mergeCell ref="P4:S4"/>
    <mergeCell ref="B16:B18"/>
    <mergeCell ref="H4:K4"/>
    <mergeCell ref="A4:A5"/>
    <mergeCell ref="G4:G5"/>
    <mergeCell ref="T4:W4"/>
    <mergeCell ref="AB4:AE4"/>
    <mergeCell ref="A1:AE1"/>
    <mergeCell ref="B4:B5"/>
    <mergeCell ref="F4:F5"/>
    <mergeCell ref="L4:O4"/>
    <mergeCell ref="B9:B11"/>
    <mergeCell ref="B19:B21"/>
    <mergeCell ref="B6:B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8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53" min="1" max="1"/>
    <col width="14" customWidth="1" style="53" min="2" max="5"/>
    <col width="14" customWidth="1" style="54" min="3" max="3"/>
    <col width="14" customWidth="1" style="54" min="4" max="4"/>
    <col width="14" customWidth="1" style="54" min="5" max="5"/>
    <col width="9" customWidth="1" style="53" min="6" max="7"/>
    <col width="9" customWidth="1" style="54" min="7" max="7"/>
    <col width="11" customWidth="1" style="53" min="8" max="8"/>
    <col width="12" customWidth="1" style="54" min="9" max="9"/>
    <col width="14" customWidth="1" style="54" min="10" max="10"/>
  </cols>
  <sheetData>
    <row r="1" ht="15" customHeight="1" s="54">
      <c r="A1" s="95" t="inlineStr">
        <is>
          <t>ManttoAI Predictivo — Control Semanal del Cronograma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</row>
    <row r="2" ht="15" customHeight="1" s="54">
      <c r="A2" s="96" t="inlineStr">
        <is>
          <t>Semana actual: Semana 8  (Febrero 2025, Semana 4)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</row>
    <row r="3" ht="36" customHeight="1" s="54">
      <c r="A3" s="97" t="inlineStr">
        <is>
          <t>Actividad</t>
        </is>
      </c>
      <c r="B3" s="97" t="inlineStr">
        <is>
          <t>Fecha Inicio
Planificada</t>
        </is>
      </c>
      <c r="C3" s="97" t="inlineStr">
        <is>
          <t>Fecha Fin
Planificada</t>
        </is>
      </c>
      <c r="D3" s="97" t="inlineStr">
        <is>
          <t>Fecha Inicio
Real</t>
        </is>
      </c>
      <c r="E3" s="97" t="inlineStr">
        <is>
          <t>Fecha Fin
Real</t>
        </is>
      </c>
      <c r="F3" s="97" t="inlineStr">
        <is>
          <t>% Plan</t>
        </is>
      </c>
      <c r="G3" s="97" t="inlineStr">
        <is>
          <t>% Real</t>
        </is>
      </c>
      <c r="H3" s="97" t="inlineStr">
        <is>
          <t>Variación
(días)</t>
        </is>
      </c>
      <c r="I3" s="97" t="inlineStr">
        <is>
          <t>SPI
(Real/Plan)</t>
        </is>
      </c>
      <c r="J3" s="97" t="inlineStr">
        <is>
          <t>Estado
(Semáforo)</t>
        </is>
      </c>
    </row>
    <row r="4" ht="19.5" customHeight="1" s="54">
      <c r="A4" s="98" t="inlineStr">
        <is>
          <t>Levantamiento de requerimientos</t>
        </is>
      </c>
      <c r="B4" s="99" t="inlineStr">
        <is>
          <t>01-Ene</t>
        </is>
      </c>
      <c r="C4" s="99" t="inlineStr">
        <is>
          <t>14-Ene</t>
        </is>
      </c>
      <c r="D4" s="99" t="inlineStr">
        <is>
          <t>01-Ene</t>
        </is>
      </c>
      <c r="E4" s="99" t="inlineStr">
        <is>
          <t>12-Ene</t>
        </is>
      </c>
      <c r="F4" s="100" t="n">
        <v>100</v>
      </c>
      <c r="G4" s="101" t="n">
        <v>100</v>
      </c>
      <c r="H4" s="102" t="n">
        <v>-2</v>
      </c>
      <c r="I4" s="103" t="n">
        <v>1</v>
      </c>
      <c r="J4" s="104" t="inlineStr">
        <is>
          <t>🟢 Verde</t>
        </is>
      </c>
    </row>
    <row r="5" ht="19.5" customHeight="1" s="54">
      <c r="A5" s="105" t="inlineStr">
        <is>
          <t>Definición de alcance y entregables</t>
        </is>
      </c>
      <c r="B5" s="106" t="inlineStr">
        <is>
          <t>01-Ene</t>
        </is>
      </c>
      <c r="C5" s="106" t="inlineStr">
        <is>
          <t>14-Ene</t>
        </is>
      </c>
      <c r="D5" s="106" t="inlineStr">
        <is>
          <t>01-Ene</t>
        </is>
      </c>
      <c r="E5" s="106" t="inlineStr">
        <is>
          <t>14-Ene</t>
        </is>
      </c>
      <c r="F5" s="107" t="n">
        <v>100</v>
      </c>
      <c r="G5" s="108" t="n">
        <v>100</v>
      </c>
      <c r="H5" s="106" t="n">
        <v>0</v>
      </c>
      <c r="I5" s="103" t="n">
        <v>1</v>
      </c>
      <c r="J5" s="104" t="inlineStr">
        <is>
          <t>🟢 Verde</t>
        </is>
      </c>
    </row>
    <row r="6" ht="19.5" customHeight="1" s="54">
      <c r="A6" s="98" t="inlineStr">
        <is>
          <t>Diseño de arquitectura del sistema</t>
        </is>
      </c>
      <c r="B6" s="99" t="inlineStr">
        <is>
          <t>08-Ene</t>
        </is>
      </c>
      <c r="C6" s="99" t="inlineStr">
        <is>
          <t>21-Ene</t>
        </is>
      </c>
      <c r="D6" s="99" t="inlineStr">
        <is>
          <t>08-Ene</t>
        </is>
      </c>
      <c r="E6" s="99" t="inlineStr">
        <is>
          <t>28-Ene</t>
        </is>
      </c>
      <c r="F6" s="100" t="n">
        <v>100</v>
      </c>
      <c r="G6" s="109" t="n">
        <v>80</v>
      </c>
      <c r="H6" s="110" t="n">
        <v>7</v>
      </c>
      <c r="I6" s="103" t="n">
        <v>0.8</v>
      </c>
      <c r="J6" s="111" t="inlineStr">
        <is>
          <t>🔴 Rojo</t>
        </is>
      </c>
    </row>
    <row r="7" ht="19.5" customHeight="1" s="54">
      <c r="A7" s="105" t="inlineStr">
        <is>
          <t>Configuración sensores ESP32</t>
        </is>
      </c>
      <c r="B7" s="106" t="inlineStr">
        <is>
          <t>15-Ene</t>
        </is>
      </c>
      <c r="C7" s="106" t="inlineStr">
        <is>
          <t>05-Feb</t>
        </is>
      </c>
      <c r="D7" s="106" t="inlineStr">
        <is>
          <t>15-Ene</t>
        </is>
      </c>
      <c r="E7" s="106" t="inlineStr">
        <is>
          <t>—</t>
        </is>
      </c>
      <c r="F7" s="107" t="n">
        <v>80</v>
      </c>
      <c r="G7" s="112" t="n">
        <v>70</v>
      </c>
      <c r="H7" s="106" t="n">
        <v>0</v>
      </c>
      <c r="I7" s="103" t="n">
        <v>0.88</v>
      </c>
      <c r="J7" s="113" t="inlineStr">
        <is>
          <t>🟡 Amarillo</t>
        </is>
      </c>
    </row>
    <row r="8" ht="19.5" customHeight="1" s="54">
      <c r="A8" s="98" t="inlineStr">
        <is>
          <t>Protocolo MQTT (Mosquitto broker)</t>
        </is>
      </c>
      <c r="B8" s="99" t="inlineStr">
        <is>
          <t>22-Ene</t>
        </is>
      </c>
      <c r="C8" s="99" t="inlineStr">
        <is>
          <t>12-Feb</t>
        </is>
      </c>
      <c r="D8" s="99" t="inlineStr">
        <is>
          <t>22-Ene</t>
        </is>
      </c>
      <c r="E8" s="99" t="inlineStr">
        <is>
          <t>—</t>
        </is>
      </c>
      <c r="F8" s="100" t="n">
        <v>80</v>
      </c>
      <c r="G8" s="109" t="n">
        <v>60</v>
      </c>
      <c r="H8" s="110" t="n">
        <v>4</v>
      </c>
      <c r="I8" s="103" t="n">
        <v>0.75</v>
      </c>
      <c r="J8" s="111" t="inlineStr">
        <is>
          <t>🔴 Rojo</t>
        </is>
      </c>
    </row>
    <row r="9" ht="19.5" customHeight="1" s="54">
      <c r="A9" s="105" t="inlineStr">
        <is>
          <t>Pruebas de conexión y transmisión</t>
        </is>
      </c>
      <c r="B9" s="106" t="inlineStr">
        <is>
          <t>05-Feb</t>
        </is>
      </c>
      <c r="C9" s="106" t="inlineStr">
        <is>
          <t>19-Feb</t>
        </is>
      </c>
      <c r="D9" s="106" t="inlineStr">
        <is>
          <t>—</t>
        </is>
      </c>
      <c r="E9" s="106" t="inlineStr">
        <is>
          <t>—</t>
        </is>
      </c>
      <c r="F9" s="107" t="n">
        <v>50</v>
      </c>
      <c r="G9" s="114" t="n">
        <v>0</v>
      </c>
      <c r="H9" s="106" t="n">
        <v>0</v>
      </c>
      <c r="I9" s="103" t="n">
        <v>0</v>
      </c>
      <c r="J9" s="111" t="inlineStr">
        <is>
          <t>🔴 Rojo</t>
        </is>
      </c>
    </row>
    <row r="10" ht="19.5" customHeight="1" s="54">
      <c r="A10" s="98" t="inlineStr">
        <is>
          <t>API REST con FastAPI (Python)</t>
        </is>
      </c>
      <c r="B10" s="99" t="inlineStr">
        <is>
          <t>05-Feb</t>
        </is>
      </c>
      <c r="C10" s="99" t="inlineStr">
        <is>
          <t>05-Mar</t>
        </is>
      </c>
      <c r="D10" s="99" t="inlineStr">
        <is>
          <t>06-Feb</t>
        </is>
      </c>
      <c r="E10" s="99" t="inlineStr">
        <is>
          <t>—</t>
        </is>
      </c>
      <c r="F10" s="100" t="n">
        <v>70</v>
      </c>
      <c r="G10" s="109" t="n">
        <v>50</v>
      </c>
      <c r="H10" s="110" t="n">
        <v>1</v>
      </c>
      <c r="I10" s="103" t="n">
        <v>0.71</v>
      </c>
      <c r="J10" s="111" t="inlineStr">
        <is>
          <t>🔴 Rojo</t>
        </is>
      </c>
    </row>
    <row r="11" ht="19.5" customHeight="1" s="54">
      <c r="A11" s="105" t="inlineStr">
        <is>
          <t>Base de datos MySQL – esquema</t>
        </is>
      </c>
      <c r="B11" s="106" t="inlineStr">
        <is>
          <t>05-Feb</t>
        </is>
      </c>
      <c r="C11" s="106" t="inlineStr">
        <is>
          <t>19-Feb</t>
        </is>
      </c>
      <c r="D11" s="106" t="inlineStr">
        <is>
          <t>05-Feb</t>
        </is>
      </c>
      <c r="E11" s="106" t="inlineStr">
        <is>
          <t>19-Feb</t>
        </is>
      </c>
      <c r="F11" s="107" t="n">
        <v>80</v>
      </c>
      <c r="G11" s="112" t="n">
        <v>80</v>
      </c>
      <c r="H11" s="106" t="n">
        <v>0</v>
      </c>
      <c r="I11" s="103" t="n">
        <v>1</v>
      </c>
      <c r="J11" s="104" t="inlineStr">
        <is>
          <t>🟢 Verde</t>
        </is>
      </c>
    </row>
    <row r="12" ht="19.5" customHeight="1" s="54">
      <c r="A12" s="98" t="inlineStr">
        <is>
          <t>Modelo predictivo scikit-learn</t>
        </is>
      </c>
      <c r="B12" s="99" t="inlineStr">
        <is>
          <t>19-Feb</t>
        </is>
      </c>
      <c r="C12" s="99" t="inlineStr">
        <is>
          <t>19-Mar</t>
        </is>
      </c>
      <c r="D12" s="99" t="inlineStr">
        <is>
          <t>—</t>
        </is>
      </c>
      <c r="E12" s="99" t="inlineStr">
        <is>
          <t>—</t>
        </is>
      </c>
      <c r="F12" s="100" t="n">
        <v>60</v>
      </c>
      <c r="G12" s="109" t="n">
        <v>30</v>
      </c>
      <c r="H12" s="99" t="n">
        <v>0</v>
      </c>
      <c r="I12" s="103" t="n">
        <v>0.5</v>
      </c>
      <c r="J12" s="111" t="inlineStr">
        <is>
          <t>🔴 Rojo</t>
        </is>
      </c>
    </row>
    <row r="14">
      <c r="A14" s="115" t="inlineStr">
        <is>
          <t>INDICADORES AGREGADOS DEL PROYECTO</t>
        </is>
      </c>
    </row>
    <row r="15">
      <c r="A15" s="97" t="inlineStr">
        <is>
          <t>Indicador</t>
        </is>
      </c>
      <c r="B15" s="97" t="inlineStr">
        <is>
          <t>Fórmula</t>
        </is>
      </c>
      <c r="C15" s="97" t="n"/>
      <c r="D15" s="97" t="inlineStr">
        <is>
          <t>Valor actual</t>
        </is>
      </c>
      <c r="E15" s="97" t="inlineStr">
        <is>
          <t>Verde</t>
        </is>
      </c>
      <c r="F15" s="97" t="inlineStr">
        <is>
          <t>Amarillo</t>
        </is>
      </c>
      <c r="G15" s="97" t="inlineStr">
        <is>
          <t>Rojo</t>
        </is>
      </c>
      <c r="H15" s="97" t="inlineStr">
        <is>
          <t>Estado</t>
        </is>
      </c>
      <c r="I15" s="97" t="n"/>
      <c r="J15" s="97" t="n"/>
    </row>
    <row r="16">
      <c r="A16" s="116" t="inlineStr">
        <is>
          <t>SPI promedio</t>
        </is>
      </c>
      <c r="B16" s="116">
        <f>PROMEDIO(I4:I12)</f>
        <v/>
      </c>
      <c r="C16" s="116" t="n"/>
      <c r="D16" s="116">
        <f>ROUND(AVERAGE(I4:I12),2)</f>
        <v/>
      </c>
      <c r="E16" s="116" t="inlineStr">
        <is>
          <t>≥ 0.95</t>
        </is>
      </c>
      <c r="F16" s="116" t="inlineStr">
        <is>
          <t>0.85 – 0.94</t>
        </is>
      </c>
      <c r="G16" s="116" t="inlineStr">
        <is>
          <t>&lt; 0.85</t>
        </is>
      </c>
      <c r="H16" s="116">
        <f>IF(D16&gt;=0.95,"🟢 Verde",IF(D16&gt;=0.85,"🟡 Amarillo","🔴 Rojo"))</f>
        <v/>
      </c>
      <c r="I16" s="116" t="n"/>
      <c r="J16" s="116" t="n"/>
    </row>
    <row r="17">
      <c r="A17" s="116" t="inlineStr">
        <is>
          <t>Variación máxima (días)</t>
        </is>
      </c>
      <c r="B17" s="116">
        <f>MAX(ABS(H4:H12))</f>
        <v/>
      </c>
      <c r="C17" s="116" t="n"/>
      <c r="D17" s="116">
        <f>MAX(ABS(H4:H12))</f>
        <v/>
      </c>
      <c r="E17" s="116" t="inlineStr">
        <is>
          <t>≤ 2</t>
        </is>
      </c>
      <c r="F17" s="116" t="inlineStr">
        <is>
          <t>3 – 4</t>
        </is>
      </c>
      <c r="G17" s="116" t="inlineStr">
        <is>
          <t>≥ 5</t>
        </is>
      </c>
      <c r="H17" s="116">
        <f>IF(D17&lt;=2,"🟢 Verde",IF(D17&lt;=4,"🟡 Amarillo","🔴 Rojo"))</f>
        <v/>
      </c>
      <c r="I17" s="116" t="n"/>
      <c r="J17" s="116" t="n"/>
    </row>
    <row r="18">
      <c r="A18" s="116" t="inlineStr">
        <is>
          <t>Actividades en rojo</t>
        </is>
      </c>
      <c r="B18" s="116">
        <f>COUNTIF(J4:J12,"*Rojo*")</f>
        <v/>
      </c>
      <c r="C18" s="116" t="n"/>
      <c r="D18" s="116">
        <f>COUNTIF(J4:J12,"*Rojo*")</f>
        <v/>
      </c>
      <c r="E18" s="116" t="inlineStr">
        <is>
          <t>0</t>
        </is>
      </c>
      <c r="F18" s="116" t="inlineStr">
        <is>
          <t>1</t>
        </is>
      </c>
      <c r="G18" s="116" t="inlineStr">
        <is>
          <t>≥ 2</t>
        </is>
      </c>
      <c r="H18" s="116">
        <f>IF(D18=0,"🟢 Verde",IF(D18=1,"🟡 Amarillo","🔴 Rojo"))</f>
        <v/>
      </c>
      <c r="I18" s="116" t="n"/>
      <c r="J18" s="116" t="n"/>
    </row>
  </sheetData>
  <mergeCells count="7">
    <mergeCell ref="A1:J1"/>
    <mergeCell ref="B16:C16"/>
    <mergeCell ref="B15:C15"/>
    <mergeCell ref="A14:J14"/>
    <mergeCell ref="A2:J2"/>
    <mergeCell ref="B18:C18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style="54" min="1" max="1"/>
    <col width="32" customWidth="1" style="54" min="2" max="2"/>
    <col width="50" customWidth="1" style="54" min="3" max="3"/>
    <col width="28" customWidth="1" style="54" min="4" max="4"/>
  </cols>
  <sheetData>
    <row r="1" ht="28" customHeight="1" s="54">
      <c r="A1" s="117" t="inlineStr">
        <is>
          <t>ManttoAI Predictivo — Plan de Seguimiento del Cronograma</t>
        </is>
      </c>
    </row>
    <row r="2">
      <c r="A2" s="118" t="inlineStr">
        <is>
          <t>Referencia: docs/cronograma/09-plan-gestion-cronograma.md  |  Equipo: Luis Loyola, Ángel Rubilar, Sebastián Bravo</t>
        </is>
      </c>
    </row>
    <row r="4" ht="22" customHeight="1" s="54">
      <c r="A4" s="119" t="inlineStr">
        <is>
          <t>1. Roles y responsabilidades sobre el cronograma</t>
        </is>
      </c>
    </row>
    <row r="5" ht="28" customHeight="1" s="54">
      <c r="A5" s="97" t="inlineStr">
        <is>
          <t>Rol</t>
        </is>
      </c>
      <c r="B5" s="97" t="inlineStr">
        <is>
          <t>Persona</t>
        </is>
      </c>
      <c r="C5" s="97" t="inlineStr">
        <is>
          <t>Responsabilidad</t>
        </is>
      </c>
      <c r="D5" s="97" t="inlineStr">
        <is>
          <t>Cuándo</t>
        </is>
      </c>
    </row>
    <row r="6">
      <c r="A6" s="120" t="inlineStr">
        <is>
          <t>Director de Proyecto</t>
        </is>
      </c>
      <c r="B6" s="120" t="inlineStr">
        <is>
          <t>Sebastián Bravo</t>
        </is>
      </c>
      <c r="C6" s="120" t="inlineStr">
        <is>
          <t>Custodia línea base, aprueba cambios, consolida control semanal y publica reporte.</t>
        </is>
      </c>
      <c r="D6" s="120" t="inlineStr">
        <is>
          <t>Lunes post-reunión</t>
        </is>
      </c>
    </row>
    <row r="7">
      <c r="A7" s="120" t="inlineStr">
        <is>
          <t>Líder Técnico</t>
        </is>
      </c>
      <c r="B7" s="120" t="inlineStr">
        <is>
          <t>Ángel Rubilar</t>
        </is>
      </c>
      <c r="C7" s="120" t="inlineStr">
        <is>
          <t>Reporta avance de hardware/ML; identifica bloqueos técnicos.</t>
        </is>
      </c>
      <c r="D7" s="120" t="inlineStr">
        <is>
          <t>Domingo hasta 22:00</t>
        </is>
      </c>
    </row>
    <row r="8">
      <c r="A8" s="120" t="inlineStr">
        <is>
          <t>Líder de Producto</t>
        </is>
      </c>
      <c r="B8" s="120" t="inlineStr">
        <is>
          <t>Luis Loyola</t>
        </is>
      </c>
      <c r="C8" s="120" t="inlineStr">
        <is>
          <t>Reporta avance de frontend/BD/documentación; identifica bloqueos.</t>
        </is>
      </c>
      <c r="D8" s="120" t="inlineStr">
        <is>
          <t>Domingo hasta 22:00</t>
        </is>
      </c>
    </row>
    <row r="9">
      <c r="A9" s="120" t="inlineStr">
        <is>
          <t>Equipo completo</t>
        </is>
      </c>
      <c r="B9" s="120" t="inlineStr">
        <is>
          <t>Los tres</t>
        </is>
      </c>
      <c r="C9" s="120" t="inlineStr">
        <is>
          <t>Actualiza % real en hoja Control Semanal antes de la reunión.</t>
        </is>
      </c>
      <c r="D9" s="120" t="inlineStr">
        <is>
          <t>Domingo hasta 22:00</t>
        </is>
      </c>
    </row>
    <row r="11" ht="22" customHeight="1" s="54">
      <c r="A11" s="119" t="inlineStr">
        <is>
          <t>2. Cadencia operativa semanal</t>
        </is>
      </c>
    </row>
    <row r="12" ht="28" customHeight="1" s="54">
      <c r="A12" s="97" t="inlineStr">
        <is>
          <t>Día</t>
        </is>
      </c>
      <c r="B12" s="97" t="inlineStr">
        <is>
          <t>Hora (CLT)</t>
        </is>
      </c>
      <c r="C12" s="97" t="inlineStr">
        <is>
          <t>Hito</t>
        </is>
      </c>
      <c r="D12" s="97" t="inlineStr">
        <is>
          <t>Responsable</t>
        </is>
      </c>
    </row>
    <row r="13">
      <c r="A13" s="120" t="inlineStr">
        <is>
          <t>Domingo</t>
        </is>
      </c>
      <c r="B13" s="120" t="inlineStr">
        <is>
          <t>Hasta 22:00</t>
        </is>
      </c>
      <c r="C13" s="120" t="inlineStr">
        <is>
          <t>Cada integrante actualiza su % real en hoja Control Semanal.</t>
        </is>
      </c>
      <c r="D13" s="120" t="inlineStr">
        <is>
          <t>Cada miembro</t>
        </is>
      </c>
    </row>
    <row r="14">
      <c r="A14" s="120" t="inlineStr">
        <is>
          <t>Lunes</t>
        </is>
      </c>
      <c r="B14" s="120" t="inlineStr">
        <is>
          <t>20:00 – 21:00</t>
        </is>
      </c>
      <c r="C14" s="120" t="inlineStr">
        <is>
          <t>Reunión semanal de control de cronograma (Discord #weekly-call).</t>
        </is>
      </c>
      <c r="D14" s="120" t="inlineStr">
        <is>
          <t>Equipo completo</t>
        </is>
      </c>
    </row>
    <row r="15">
      <c r="A15" s="120" t="inlineStr">
        <is>
          <t>Lunes</t>
        </is>
      </c>
      <c r="B15" s="120" t="inlineStr">
        <is>
          <t>Post-reunión</t>
        </is>
      </c>
      <c r="C15" s="120" t="inlineStr">
        <is>
          <t>Director consolida cambios, congela snapshot semanal y publica resumen en Discord #general.</t>
        </is>
      </c>
      <c r="D15" s="120" t="inlineStr">
        <is>
          <t>Sebastián Bravo</t>
        </is>
      </c>
    </row>
    <row r="16">
      <c r="A16" s="120" t="inlineStr">
        <is>
          <t>Martes</t>
        </is>
      </c>
      <c r="B16" s="120" t="inlineStr">
        <is>
          <t>12:00</t>
        </is>
      </c>
      <c r="C16" s="120" t="inlineStr">
        <is>
          <t>Confirmación pública del SPI semanal y actividades en riesgo.</t>
        </is>
      </c>
      <c r="D16" s="120" t="inlineStr">
        <is>
          <t>Sebastián Bravo</t>
        </is>
      </c>
    </row>
    <row r="18" ht="22" customHeight="1" s="54">
      <c r="A18" s="119" t="inlineStr">
        <is>
          <t>3. KPIs del cronograma y umbrales (semáforo)</t>
        </is>
      </c>
    </row>
    <row r="19" ht="28" customHeight="1" s="54">
      <c r="A19" s="97" t="inlineStr">
        <is>
          <t>Indicador</t>
        </is>
      </c>
      <c r="B19" s="97" t="inlineStr">
        <is>
          <t>Fórmula</t>
        </is>
      </c>
      <c r="C19" s="97" t="inlineStr">
        <is>
          <t>Verde / Amarillo / Rojo</t>
        </is>
      </c>
      <c r="D19" s="97" t="inlineStr">
        <is>
          <t>Acción ante rojo</t>
        </is>
      </c>
    </row>
    <row r="20">
      <c r="A20" s="120" t="inlineStr">
        <is>
          <t>SPI (Schedule Performance Index)</t>
        </is>
      </c>
      <c r="B20" s="120" t="inlineStr">
        <is>
          <t>% Real / % Plan</t>
        </is>
      </c>
      <c r="C20" s="120" t="inlineStr">
        <is>
          <t>≥ 0.95 / 0.85–0.94 / &lt; 0.85</t>
        </is>
      </c>
      <c r="D20" s="120" t="inlineStr">
        <is>
          <t>Activar plan de contingencia (sección 5).</t>
        </is>
      </c>
    </row>
    <row r="21">
      <c r="A21" s="120" t="inlineStr">
        <is>
          <t>Variación máxima (días)</t>
        </is>
      </c>
      <c r="B21" s="120" t="inlineStr">
        <is>
          <t>max(|Fin Real − Fin Plan|) por sprint</t>
        </is>
      </c>
      <c r="C21" s="120" t="inlineStr">
        <is>
          <t>≤ 2 / 3–4 / ≥ 5</t>
        </is>
      </c>
      <c r="D21" s="120" t="inlineStr">
        <is>
          <t>Reasignar carga o reducir alcance del sprint.</t>
        </is>
      </c>
    </row>
    <row r="22">
      <c r="A22" s="120" t="inlineStr">
        <is>
          <t>Actividades en rojo</t>
        </is>
      </c>
      <c r="B22" s="120" t="inlineStr">
        <is>
          <t>Conteo de filas con SPI&lt;0.85 o var≥5</t>
        </is>
      </c>
      <c r="C22" s="120" t="inlineStr">
        <is>
          <t>0 / 1 / ≥ 2</t>
        </is>
      </c>
      <c r="D22" s="120" t="inlineStr">
        <is>
          <t>Reunión extraordinaria 24 h, Director convoca.</t>
        </is>
      </c>
    </row>
    <row r="24" ht="22" customHeight="1" s="54">
      <c r="A24" s="119" t="inlineStr">
        <is>
          <t>4. Protocolo de desvíos — clasificación y acción</t>
        </is>
      </c>
    </row>
    <row r="25" ht="28" customHeight="1" s="54">
      <c r="A25" s="97" t="inlineStr">
        <is>
          <t>Nivel</t>
        </is>
      </c>
      <c r="B25" s="97" t="inlineStr">
        <is>
          <t>Criterio</t>
        </is>
      </c>
      <c r="C25" s="97" t="inlineStr">
        <is>
          <t>Acción inmediata</t>
        </is>
      </c>
      <c r="D25" s="97" t="inlineStr">
        <is>
          <t>Quién decide</t>
        </is>
      </c>
    </row>
    <row r="26">
      <c r="A26" s="121" t="inlineStr">
        <is>
          <t>🟢 Verde</t>
        </is>
      </c>
      <c r="B26" s="121" t="inlineStr">
        <is>
          <t>Avance dentro de plan (SPI ≥ 0.95).</t>
        </is>
      </c>
      <c r="C26" s="121" t="inlineStr">
        <is>
          <t>Documentar y continuar.</t>
        </is>
      </c>
      <c r="D26" s="121" t="inlineStr">
        <is>
          <t>Equipo</t>
        </is>
      </c>
    </row>
    <row r="27">
      <c r="A27" s="122" t="inlineStr">
        <is>
          <t>🟡 Amarillo</t>
        </is>
      </c>
      <c r="B27" s="122" t="inlineStr">
        <is>
          <t>Desvío leve 1–4 días o SPI 0.85–0.94.</t>
        </is>
      </c>
      <c r="C27" s="122" t="inlineStr">
        <is>
          <t>Registrar causa, ajustar esfuerzo del sprint, notificar al Director.</t>
        </is>
      </c>
      <c r="D27" s="122" t="inlineStr">
        <is>
          <t>Líder del área</t>
        </is>
      </c>
    </row>
    <row r="28">
      <c r="A28" s="123" t="inlineStr">
        <is>
          <t>🔴 Rojo</t>
        </is>
      </c>
      <c r="B28" s="123" t="inlineStr">
        <is>
          <t>Desvío crítico ≥ 5 días o SPI &lt; 0.85 o bloqueo de cadena.</t>
        </is>
      </c>
      <c r="C28" s="123" t="inlineStr">
        <is>
          <t>Activar plan de contingencia (sección 5).</t>
        </is>
      </c>
      <c r="D28" s="123" t="inlineStr">
        <is>
          <t>Director de Proyecto</t>
        </is>
      </c>
    </row>
    <row r="30" ht="22" customHeight="1" s="54">
      <c r="A30" s="119" t="inlineStr">
        <is>
          <t>5. Plan de contingencia (cuando aparece rojo)</t>
        </is>
      </c>
    </row>
    <row r="31" ht="28" customHeight="1" s="54">
      <c r="A31" s="97" t="inlineStr">
        <is>
          <t>Paso</t>
        </is>
      </c>
      <c r="B31" s="97" t="inlineStr">
        <is>
          <t>Acción</t>
        </is>
      </c>
      <c r="C31" s="97" t="inlineStr">
        <is>
          <t>Salida esperada</t>
        </is>
      </c>
      <c r="D31" s="97" t="inlineStr">
        <is>
          <t>Plazo</t>
        </is>
      </c>
    </row>
    <row r="32">
      <c r="A32" s="120" t="inlineStr">
        <is>
          <t>1. Identificar</t>
        </is>
      </c>
      <c r="B32" s="120" t="inlineStr">
        <is>
          <t>En reunión semanal nombrar la actividad y responsable.</t>
        </is>
      </c>
      <c r="C32" s="120" t="inlineStr">
        <is>
          <t>Lista de actividades en rojo.</t>
        </is>
      </c>
      <c r="D32" s="120" t="inlineStr">
        <is>
          <t>Mismo lunes</t>
        </is>
      </c>
    </row>
    <row r="33">
      <c r="A33" s="120" t="inlineStr">
        <is>
          <t>2. Diagnosticar</t>
        </is>
      </c>
      <c r="B33" s="120" t="inlineStr">
        <is>
          <t>Determinar causa: técnica, dependencia, alcance o esfuerzo.</t>
        </is>
      </c>
      <c r="C33" s="120" t="inlineStr">
        <is>
          <t>Causa raíz documentada.</t>
        </is>
      </c>
      <c r="D33" s="120" t="inlineStr">
        <is>
          <t>Mismo lunes</t>
        </is>
      </c>
    </row>
    <row r="34">
      <c r="A34" s="120" t="inlineStr">
        <is>
          <t>3. Reaccionar</t>
        </is>
      </c>
      <c r="B34" s="120" t="inlineStr">
        <is>
          <t>Aplicar primera estrategia viable: mockear dependencia → reducir alcance → reasignar carga → reprogramar hito (último recurso, requiere aprobación Director).</t>
        </is>
      </c>
      <c r="C34" s="120" t="inlineStr">
        <is>
          <t>Plan de acción con responsable y fecha.</t>
        </is>
      </c>
      <c r="D34" s="120" t="inlineStr">
        <is>
          <t>24 h tras reunión</t>
        </is>
      </c>
    </row>
    <row r="35">
      <c r="A35" s="120" t="inlineStr">
        <is>
          <t>4. Registrar</t>
        </is>
      </c>
      <c r="B35" s="120" t="inlineStr">
        <is>
          <t>Anotar decisión en Lecciones Aprendidas y, si afecta línea base, en Control de Cambios.</t>
        </is>
      </c>
      <c r="C35" s="120" t="inlineStr">
        <is>
          <t>Entrada en docs/gestion-proyecto/03-registro-lecciones-aprendidas.md</t>
        </is>
      </c>
      <c r="D35" s="120" t="inlineStr">
        <is>
          <t>48 h tras reunión</t>
        </is>
      </c>
    </row>
    <row r="37" ht="22" customHeight="1" s="54">
      <c r="A37" s="119" t="inlineStr">
        <is>
          <t>6. Control de cambios a la línea base del cronograma</t>
        </is>
      </c>
    </row>
    <row r="38" ht="28" customHeight="1" s="54">
      <c r="A38" s="97" t="inlineStr">
        <is>
          <t>Paso</t>
        </is>
      </c>
      <c r="B38" s="97" t="inlineStr">
        <is>
          <t>Quién</t>
        </is>
      </c>
      <c r="C38" s="97" t="inlineStr">
        <is>
          <t>Salida</t>
        </is>
      </c>
      <c r="D38" s="97" t="inlineStr">
        <is>
          <t>Notas</t>
        </is>
      </c>
    </row>
    <row r="39">
      <c r="A39" s="120" t="inlineStr">
        <is>
          <t>1. Solicitud escrita</t>
        </is>
      </c>
      <c r="B39" s="120" t="inlineStr">
        <is>
          <t>Solicitante</t>
        </is>
      </c>
      <c r="C39" s="120" t="inlineStr">
        <is>
          <t>GitHub Issue con etiqueta "cronograma:change-request".</t>
        </is>
      </c>
      <c r="D39" s="120" t="inlineStr">
        <is>
          <t>Fechas y motivo claros.</t>
        </is>
      </c>
    </row>
    <row r="40">
      <c r="A40" s="120" t="inlineStr">
        <is>
          <t>2. Análisis de impacto</t>
        </is>
      </c>
      <c r="B40" s="120" t="inlineStr">
        <is>
          <t>Director + Líder área</t>
        </is>
      </c>
      <c r="C40" s="120" t="inlineStr">
        <is>
          <t>Estimación de impacto en tiempo, costo, calidad y riesgos.</t>
        </is>
      </c>
      <c r="D40" s="120" t="inlineStr">
        <is>
          <t>Documentado en el Issue.</t>
        </is>
      </c>
    </row>
    <row r="41">
      <c r="A41" s="120" t="inlineStr">
        <is>
          <t>3. Aprobación</t>
        </is>
      </c>
      <c r="B41" s="120" t="inlineStr">
        <is>
          <t>Director de Proyecto</t>
        </is>
      </c>
      <c r="C41" s="120" t="inlineStr">
        <is>
          <t>Comentario de aprobación o rechazo en el Issue.</t>
        </is>
      </c>
      <c r="D41" s="120" t="inlineStr">
        <is>
          <t>Sin aprobación → no se mergea cambio.</t>
        </is>
      </c>
    </row>
    <row r="42">
      <c r="A42" s="120" t="inlineStr">
        <is>
          <t>4. Actualización Gantt</t>
        </is>
      </c>
      <c r="B42" s="120" t="inlineStr">
        <is>
          <t>Director</t>
        </is>
      </c>
      <c r="C42" s="120" t="inlineStr">
        <is>
          <t>Hoja "Cronograma Gantt" actualizada; versión anterior archivada como histórico.</t>
        </is>
      </c>
      <c r="D42" s="120" t="inlineStr">
        <is>
          <t>Backup en docs/office/.</t>
        </is>
      </c>
    </row>
    <row r="43">
      <c r="A43" s="120" t="inlineStr">
        <is>
          <t>5. Comunicación</t>
        </is>
      </c>
      <c r="B43" s="120" t="inlineStr">
        <is>
          <t>Director</t>
        </is>
      </c>
      <c r="C43" s="120" t="inlineStr">
        <is>
          <t>Anuncio en próxima reunión semanal y en Discord #general.</t>
        </is>
      </c>
      <c r="D43" s="120" t="inlineStr">
        <is>
          <t>Acta en minuta correspondiente.</t>
        </is>
      </c>
    </row>
    <row r="45" ht="22" customHeight="1" s="54">
      <c r="A45" s="119" t="inlineStr">
        <is>
          <t>7. Enforcement — qué pasa si alguien no cumple el proceso</t>
        </is>
      </c>
    </row>
    <row r="46" ht="28" customHeight="1" s="54">
      <c r="A46" s="97" t="inlineStr">
        <is>
          <t>Situación</t>
        </is>
      </c>
      <c r="B46" s="97" t="inlineStr">
        <is>
          <t>Consecuencia</t>
        </is>
      </c>
      <c r="C46" s="97" t="inlineStr">
        <is>
          <t>Escalamiento</t>
        </is>
      </c>
      <c r="D46" s="97" t="inlineStr">
        <is>
          <t>Quién</t>
        </is>
      </c>
    </row>
    <row r="47">
      <c r="A47" s="120" t="inlineStr">
        <is>
          <t>Integrante no actualiza % real al domingo 22:00</t>
        </is>
      </c>
      <c r="B47" s="120" t="inlineStr">
        <is>
          <t>Su actividad se asume sin avance esa semana; se cuenta como amarillo.</t>
        </is>
      </c>
      <c r="C47" s="120" t="inlineStr">
        <is>
          <t>Director recuerda en daily lunes; segunda omisión consecutiva → conversación 1:1.</t>
        </is>
      </c>
      <c r="D47" s="120" t="inlineStr">
        <is>
          <t>Director</t>
        </is>
      </c>
    </row>
    <row r="48">
      <c r="A48" s="120" t="inlineStr">
        <is>
          <t>Integrante no asiste a reunión semanal sin aviso</t>
        </is>
      </c>
      <c r="B48" s="120" t="inlineStr">
        <is>
          <t>Se publica acta sin su update; queda con compromisos heredados de la semana previa.</t>
        </is>
      </c>
      <c r="C48" s="120" t="inlineStr">
        <is>
          <t>Tercera ausencia injustificada → reportar en retrospectiva del sprint.</t>
        </is>
      </c>
      <c r="D48" s="120" t="inlineStr">
        <is>
          <t>Director + equipo</t>
        </is>
      </c>
    </row>
    <row r="49">
      <c r="A49" s="120" t="inlineStr">
        <is>
          <t>Tarea sin movimiento por 5 días</t>
        </is>
      </c>
      <c r="B49" s="120" t="inlineStr">
        <is>
          <t>Se etiqueta "blocked" en GitHub Projects; se revisa en weekly.</t>
        </is>
      </c>
      <c r="C49" s="120" t="inlineStr">
        <is>
          <t>Si persiste 2 weekly → reasignación.</t>
        </is>
      </c>
      <c r="D49" s="120" t="inlineStr">
        <is>
          <t>Líder área</t>
        </is>
      </c>
    </row>
    <row r="50">
      <c r="A50" s="120" t="inlineStr">
        <is>
          <t>Línea base modificada sin Control de Cambios</t>
        </is>
      </c>
      <c r="B50" s="120" t="inlineStr">
        <is>
          <t>Cambio se revierte; se registra como no conformidad.</t>
        </is>
      </c>
      <c r="C50" s="120" t="inlineStr">
        <is>
          <t>Si reincidente → escalamiento a profesor guía.</t>
        </is>
      </c>
      <c r="D50" s="120" t="inlineStr">
        <is>
          <t>Director</t>
        </is>
      </c>
    </row>
    <row r="51">
      <c r="A51" s="120" t="inlineStr">
        <is>
          <t>Reporte semanal SPI no publicado el lunes</t>
        </is>
      </c>
      <c r="B51" s="120" t="inlineStr">
        <is>
          <t>Director debe explicarlo en el daily del martes.</t>
        </is>
      </c>
      <c r="C51" s="120" t="inlineStr">
        <is>
          <t>Si pasan 2 lunes sin reporte → equipo elige suplente.</t>
        </is>
      </c>
      <c r="D51" s="120" t="inlineStr">
        <is>
          <t>Equipo</t>
        </is>
      </c>
    </row>
    <row r="53" ht="22" customHeight="1" s="54">
      <c r="A53" s="119" t="inlineStr">
        <is>
          <t>8. Visibilidad y publicación del reporte semanal</t>
        </is>
      </c>
    </row>
    <row r="54" ht="28" customHeight="1" s="54">
      <c r="A54" s="97" t="inlineStr">
        <is>
          <t>Artefacto</t>
        </is>
      </c>
      <c r="B54" s="97" t="inlineStr">
        <is>
          <t>Dónde se publica</t>
        </is>
      </c>
      <c r="C54" s="97" t="inlineStr">
        <is>
          <t>Frecuencia</t>
        </is>
      </c>
      <c r="D54" s="97" t="inlineStr">
        <is>
          <t>Audiencia</t>
        </is>
      </c>
    </row>
    <row r="55">
      <c r="A55" s="120" t="inlineStr">
        <is>
          <t>Snapshot Control Semanal</t>
        </is>
      </c>
      <c r="B55" s="120" t="inlineStr">
        <is>
          <t>docs/office/Cronograma_ManttoAI.xlsx (commit semanal)</t>
        </is>
      </c>
      <c r="C55" s="120" t="inlineStr">
        <is>
          <t>Lunes post-reunión</t>
        </is>
      </c>
      <c r="D55" s="120" t="inlineStr">
        <is>
          <t>Equipo + profesor guía</t>
        </is>
      </c>
    </row>
    <row r="56">
      <c r="A56" s="120" t="inlineStr">
        <is>
          <t>Resumen ejecutivo SPI</t>
        </is>
      </c>
      <c r="B56" s="120" t="inlineStr">
        <is>
          <t>Discord #general (mensaje fijado)</t>
        </is>
      </c>
      <c r="C56" s="120" t="inlineStr">
        <is>
          <t>Lunes 21:00</t>
        </is>
      </c>
      <c r="D56" s="120" t="inlineStr">
        <is>
          <t>Equipo</t>
        </is>
      </c>
    </row>
    <row r="57">
      <c r="A57" s="120" t="inlineStr">
        <is>
          <t>Reporte de hito</t>
        </is>
      </c>
      <c r="B57" s="120" t="inlineStr">
        <is>
          <t>docs/cronograma/11-hitos-proyecto.md</t>
        </is>
      </c>
      <c r="C57" s="120" t="inlineStr">
        <is>
          <t>Por hito cerrado</t>
        </is>
      </c>
      <c r="D57" s="120" t="inlineStr">
        <is>
          <t>Profesor + tribunal</t>
        </is>
      </c>
    </row>
    <row r="58">
      <c r="A58" s="120" t="inlineStr">
        <is>
          <t>Minuta de reunión</t>
        </is>
      </c>
      <c r="B58" s="120" t="inlineStr">
        <is>
          <t>docs/office/minutas/YYYY-MM-DD-weekly.md</t>
        </is>
      </c>
      <c r="C58" s="120" t="inlineStr">
        <is>
          <t>Lunes 24 h post-reunión</t>
        </is>
      </c>
      <c r="D58" s="120" t="inlineStr">
        <is>
          <t>Equipo + profesor</t>
        </is>
      </c>
    </row>
    <row r="60" ht="22" customHeight="1" s="54">
      <c r="A60" s="119" t="inlineStr">
        <is>
          <t>9. Retrospectiva del cronograma (cierre de sprint)</t>
        </is>
      </c>
    </row>
    <row r="61" ht="28" customHeight="1" s="54">
      <c r="A61" s="97" t="inlineStr">
        <is>
          <t>Pregunta</t>
        </is>
      </c>
      <c r="B61" s="97" t="inlineStr">
        <is>
          <t>Salida esperada</t>
        </is>
      </c>
      <c r="C61" s="97" t="inlineStr">
        <is>
          <t>Frecuencia</t>
        </is>
      </c>
      <c r="D61" s="97" t="inlineStr">
        <is>
          <t>Quién</t>
        </is>
      </c>
    </row>
    <row r="62">
      <c r="A62" s="120" t="inlineStr">
        <is>
          <t>¿Qué actividades se desviaron y por qué?</t>
        </is>
      </c>
      <c r="B62" s="120" t="inlineStr">
        <is>
          <t>Lista con causa raíz.</t>
        </is>
      </c>
      <c r="C62" s="120" t="inlineStr">
        <is>
          <t>Cada 2 viernes (cierre sprint)</t>
        </is>
      </c>
      <c r="D62" s="120" t="inlineStr">
        <is>
          <t>Equipo</t>
        </is>
      </c>
    </row>
    <row r="63">
      <c r="A63" s="120" t="inlineStr">
        <is>
          <t>¿La estimación inicial fue realista?</t>
        </is>
      </c>
      <c r="B63" s="120" t="inlineStr">
        <is>
          <t>Ajuste de coeficiente de holgura para próximo sprint.</t>
        </is>
      </c>
      <c r="C63" s="120" t="inlineStr">
        <is>
          <t>Cada 2 viernes</t>
        </is>
      </c>
      <c r="D63" s="120" t="inlineStr">
        <is>
          <t>Director</t>
        </is>
      </c>
    </row>
    <row r="64">
      <c r="A64" s="120" t="inlineStr">
        <is>
          <t>¿Funcionaron las contingencias aplicadas?</t>
        </is>
      </c>
      <c r="B64" s="120" t="inlineStr">
        <is>
          <t>Validación o cambio del playbook (sección 5).</t>
        </is>
      </c>
      <c r="C64" s="120" t="inlineStr">
        <is>
          <t>Cada 2 viernes</t>
        </is>
      </c>
      <c r="D64" s="120" t="inlineStr">
        <is>
          <t>Equipo</t>
        </is>
      </c>
    </row>
    <row r="65">
      <c r="A65" s="120" t="inlineStr">
        <is>
          <t>¿Hay hitos en riesgo en próximo sprint?</t>
        </is>
      </c>
      <c r="B65" s="120" t="inlineStr">
        <is>
          <t>Plan preventivo con responsable.</t>
        </is>
      </c>
      <c r="C65" s="120" t="inlineStr">
        <is>
          <t>Cada 2 viernes</t>
        </is>
      </c>
      <c r="D65" s="120" t="inlineStr">
        <is>
          <t>Líderes área</t>
        </is>
      </c>
    </row>
  </sheetData>
  <mergeCells count="11">
    <mergeCell ref="A1:D1"/>
    <mergeCell ref="A37:D37"/>
    <mergeCell ref="A18:D18"/>
    <mergeCell ref="A45:D45"/>
    <mergeCell ref="A53:D53"/>
    <mergeCell ref="A4:D4"/>
    <mergeCell ref="A30:D30"/>
    <mergeCell ref="A24:D24"/>
    <mergeCell ref="A2:D2"/>
    <mergeCell ref="A11:D11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2026-04-04T23:51:13Z</dcterms:created>
  <dcterms:modified xmlns:dcterms="http://purl.org/dc/terms/" xmlns:xsi="http://www.w3.org/2001/XMLSchema-instance" xsi:type="dcterms:W3CDTF">2026-04-27T23:20:36Z</dcterms:modified>
  <cp:revision>0</cp:revision>
</cp:coreProperties>
</file>